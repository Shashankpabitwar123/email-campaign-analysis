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03a244e22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39e98a745254d80"/>
    <x:sheet xmlns:r="http://schemas.openxmlformats.org/officeDocument/2006/relationships" name="Campaigns" sheetId="2" r:id="R49d4c16d9bde4f7b"/>
    <x:sheet xmlns:r="http://schemas.openxmlformats.org/officeDocument/2006/relationships" name="Segments" sheetId="3" r:id="Rf8c47760ed58407a"/>
    <x:sheet xmlns:r="http://schemas.openxmlformats.org/officeDocument/2006/relationships" name="Source data" sheetId="4" r:id="R539a7d9b0a4c4cc1"/>
    <x:sheet xmlns:r="http://schemas.openxmlformats.org/officeDocument/2006/relationships" name="Guide" sheetId="5" r:id="R26e6ac3833e1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$#,##0.00;[Red]($#,##0.00);$0.00"/>
    <x:numFmt numFmtId="202" formatCode="0.00%"/>
    <x:numFmt numFmtId="203" formatCode="0.00&quot; pp&quot;"/>
    <x:numFmt numFmtId="204" formatCode="0.00E+00"/>
    <x:numFmt numFmtId="205" formatCode="0%"/>
  </x:numFmts>
  <x:fonts count="7">
    <x:font>
      <x:sz val="11"/>
      <x:name val="Carlito"/>
    </x:font>
    <x:font>
      <x:sz val="11"/>
      <x:name val="Arial"/>
    </x:font>
    <x:font>
      <x:b/>
      <x:sz val="22"/>
      <x:color rgb="FF16324F"/>
      <x:name val="Arial"/>
    </x:font>
    <x:font>
      <x:sz val="11"/>
      <x:color rgb="FF586778"/>
      <x:name val="Arial"/>
    </x:font>
    <x:font>
      <x:b/>
      <x:sz val="11"/>
      <x:color rgb="FFFFFFFF"/>
      <x:name val="Arial"/>
    </x:font>
    <x:font>
      <x:b/>
      <x:sz val="11"/>
      <x:color rgb="FF195AAC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1CD"/>
      </x:patternFill>
    </x:fill>
    <x:fill>
      <x:patternFill patternType="solid">
        <x:fgColor rgb="FFE8F2EF"/>
      </x:patternFill>
    </x:fill>
  </x:fills>
  <x:borders count="2">
    <x:border/>
    <x:border>
      <x:left style="thin">
        <x:color rgb="FFDAC389"/>
      </x:left>
      <x:right style="thin">
        <x:color rgb="FFDAC389"/>
      </x:right>
      <x:top style="thin">
        <x:color rgb="FFDAC389"/>
      </x:top>
      <x:bottom style="thin">
        <x:color rgb="FFDAC38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205" fontId="5" fillId="3" borderId="1" xfId="0" applyNumberFormat="1" applyFont="1" applyFill="1" applyBorder="1"/>
    <x:xf numFmtId="201" fontId="5" fillId="3" borderId="1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1">
    <x:dxf>
      <x:font>
        <x:color rgb="FFA527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ea3c78edb41df" /><Relationship Type="http://schemas.openxmlformats.org/officeDocument/2006/relationships/theme" Target="/xl/theme/theme1.xml" Id="R650b5e29dec34a69" /><Relationship Type="http://schemas.openxmlformats.org/officeDocument/2006/relationships/sharedStrings" Target="/xl/sharedStrings.xml" Id="Rd53c195f18e14a0c" /><Relationship Type="http://schemas.openxmlformats.org/officeDocument/2006/relationships/worksheet" Target="/xl/worksheets/sheet1.xml" Id="R039e98a745254d80" /><Relationship Type="http://schemas.openxmlformats.org/officeDocument/2006/relationships/worksheet" Target="/xl/worksheets/sheet2.xml" Id="R49d4c16d9bde4f7b" /><Relationship Type="http://schemas.openxmlformats.org/officeDocument/2006/relationships/worksheet" Target="/xl/worksheets/sheet3.xml" Id="Rf8c47760ed58407a" /><Relationship Type="http://schemas.openxmlformats.org/officeDocument/2006/relationships/worksheet" Target="/xl/worksheets/sheet4.xml" Id="R539a7d9b0a4c4cc1" /><Relationship Type="http://schemas.openxmlformats.org/officeDocument/2006/relationships/worksheet" Target="/xl/worksheets/sheet5.xml" Id="R26e6ac3833e145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ee05ea12b5480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6015a560c584a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How contact volume changes the decision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Modeled contribution</c:v>
          </c:tx>
          <c:marker>
            <c:symbol val="none"/>
          </c:marker>
          <c:cat>
            <c:strRef>
              <c:f>'Budget'!$B$29:$B$34</c:f>
              <c:strCache>
                <c:ptCount val="0"/>
              </c:strCache>
            </c:strRef>
          </c:cat>
          <c:val>
            <c:numRef>
              <c:f>'Budget'!$C$29:$C$34</c:f>
              <c:numCache>
                <c:formatCode>$#,##0.00;[Red]($#,##0.00);$0.00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Purchase conversion by assignment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Conversion</c:v>
          </c:tx>
          <c:cat>
            <c:strRef>
              <c:f>'Campaigns'!$B$7:$B$9</c:f>
              <c:strCache>
                <c:ptCount val="0"/>
              </c:strCache>
            </c:strRef>
          </c:cat>
          <c:val>
            <c:numRef>
              <c:f>'Campaigns'!$E$7:$E$9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27</xdr:row>
      <xdr:rowOff>0</xdr:rowOff>
    </xdr:from>
    <xdr:to>
      <xdr:col>11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ee05ea12b5480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015a560c584a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Cube" displayName="SourceCube" ref="B6:I60" headerRowCount="1" totalsRowCount="0" totalsRowShown="0">
  <x:tableColumns count="8">
    <x:tableColumn id="1" name="Campaign"/>
    <x:tableColumn id="2" name="Prior channel"/>
    <x:tableColumn id="3" name="Recency"/>
    <x:tableColumn id="4" name="Newbie flag"/>
    <x:tableColumn id="5" name="Customers"/>
    <x:tableColumn id="6" name="Purchasers"/>
    <x:tableColumn id="7" name="Visitors"/>
    <x:tableColumn id="8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fc98c2a43c47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b60ca13b85a46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2cf8b69f09e4ba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" hidden="0" customWidth="1"/>
    <x:col min="2" max="2" width="29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7" customHeight="1">
      <x:c r="A2" s="1"/>
      <x:c r="B2" s="2" t="str">
        <x:v>Email campaign budget</x:v>
      </x:c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4" t="str">
        <x:v>Change the yellow inputs. Results are scenarios using historical response estimates, not observed profit or a forecast.</x:v>
      </x:c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4" customHeight="1">
      <x:c r="A6" s="1"/>
      <x:c r="B6" s="7" t="str">
        <x:v>Business assumption</x:v>
      </x:c>
      <x:c r="C6" s="7" t="str">
        <x:v>Your input</x:v>
      </x:c>
      <x:c r="D6" s="7" t="str">
        <x:v>Meaning</x:v>
      </x:c>
      <x:c r="E6" s="1"/>
      <x:c r="F6" s="1"/>
      <x:c r="G6" s="1"/>
      <x:c r="H6" s="1"/>
      <x:c r="I6" s="1"/>
      <x:c r="J6" s="1"/>
    </x:row>
    <x:row r="7" ht="23" customHeight="1">
      <x:c r="A7" s="1"/>
      <x:c r="B7" s="1" t="str">
        <x:v>Campaign</x:v>
      </x:c>
      <x:c r="C7" s="15" t="str">
        <x:v>Men's merchandise</x:v>
      </x:c>
      <x:c r="D7" s="1" t="str">
        <x:v>Email creative</x:v>
      </x:c>
      <x:c r="E7" s="1"/>
      <x:c r="F7" s="1"/>
      <x:c r="G7" s="1"/>
      <x:c r="H7" s="1"/>
      <x:c r="I7" s="1"/>
      <x:c r="J7" s="1"/>
    </x:row>
    <x:row r="8" ht="23" customHeight="1">
      <x:c r="A8" s="1"/>
      <x:c r="B8" s="1" t="str">
        <x:v>Customers to contact</x:v>
      </x:c>
      <x:c r="C8" s="16" t="n">
        <x:v>10000</x:v>
      </x:c>
      <x:c r="D8" s="1" t="str">
        <x:v>Assigned recipients</x:v>
      </x:c>
      <x:c r="E8" s="1"/>
      <x:c r="F8" s="1"/>
      <x:c r="G8" s="1"/>
      <x:c r="H8" s="1"/>
      <x:c r="I8" s="1"/>
      <x:c r="J8" s="1"/>
    </x:row>
    <x:row r="9" ht="23" customHeight="1">
      <x:c r="A9" s="1"/>
      <x:c r="B9" s="1" t="str">
        <x:v>Contribution margin</x:v>
      </x:c>
      <x:c r="C9" s="17" t="n">
        <x:v>0.5</x:v>
      </x:c>
      <x:c r="D9" s="1" t="str">
        <x:v>Share of extra revenue retained</x:v>
      </x:c>
      <x:c r="E9" s="1"/>
      <x:c r="F9" s="1"/>
      <x:c r="G9" s="1"/>
      <x:c r="H9" s="1"/>
      <x:c r="I9" s="1"/>
      <x:c r="J9" s="1"/>
    </x:row>
    <x:row r="10" ht="23" customHeight="1">
      <x:c r="A10" s="1"/>
      <x:c r="B10" s="1" t="str">
        <x:v>Cost per email</x:v>
      </x:c>
      <x:c r="C10" s="18" t="n">
        <x:v>0.05</x:v>
      </x:c>
      <x:c r="D10" s="1" t="str">
        <x:v>USD per assigned recipient</x:v>
      </x:c>
      <x:c r="E10" s="1"/>
      <x:c r="F10" s="1"/>
      <x:c r="G10" s="1"/>
      <x:c r="H10" s="1"/>
      <x:c r="I10" s="1"/>
      <x:c r="J10" s="1"/>
    </x:row>
    <x:row r="11" ht="23" customHeight="1">
      <x:c r="A11" s="1"/>
      <x:c r="B11" s="1" t="str">
        <x:v>Fixed campaign cost</x:v>
      </x:c>
      <x:c r="C11" s="18" t="n">
        <x:v>500</x:v>
      </x:c>
      <x:c r="D11" s="1" t="str">
        <x:v>USD per campaign</x:v>
      </x:c>
      <x:c r="E11" s="1"/>
      <x:c r="F11" s="1"/>
      <x:c r="G11" s="1"/>
      <x:c r="H11" s="1"/>
      <x:c r="I11" s="1"/>
      <x:c r="J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34" customHeight="1">
      <x:c r="A14" s="1"/>
      <x:c r="B14" s="7" t="str">
        <x:v>Scenario result</x:v>
      </x:c>
      <x:c r="C14" s="7" t="str">
        <x:v>Estimate</x:v>
      </x:c>
      <x:c r="D14" s="7" t="str">
        <x:v>95% effect lower</x:v>
      </x:c>
      <x:c r="E14" s="7" t="str">
        <x:v>95% effect upper</x:v>
      </x:c>
      <x:c r="F14" s="1"/>
      <x:c r="G14" s="1"/>
      <x:c r="H14" s="1"/>
      <x:c r="I14" s="1"/>
      <x:c r="J14" s="1"/>
    </x:row>
    <x:row r="15" ht="23" customHeight="1">
      <x:c r="A15" s="1"/>
      <x:c r="B15" s="1" t="str">
        <x:v>Extra revenue / customer</x:v>
      </x:c>
      <x:c r="C15" s="9" t="n">
        <x:f>_xlfn.XLOOKUP($C$7,Campaigns!$B$8:$B$9,Campaigns!$H$8:$H$9)</x:f>
        <x:v>0.7698271558945364</x:v>
      </x:c>
      <x:c r="D15" s="9" t="n">
        <x:f>_xlfn.XLOOKUP($C$7,Campaigns!$B$8:$B$9,Campaigns!$I$8:$I$9)</x:f>
        <x:v>0.49242825778104793</x:v>
      </x:c>
      <x:c r="E15" s="9" t="n">
        <x:f>_xlfn.XLOOKUP($C$7,Campaigns!$B$8:$B$9,Campaigns!$J$8:$J$9)</x:f>
        <x:v>1.0647930506209635</x:v>
      </x:c>
      <x:c r="F15" s="1"/>
      <x:c r="G15" s="1"/>
      <x:c r="H15" s="1"/>
      <x:c r="I15" s="1"/>
      <x:c r="J15" s="1"/>
    </x:row>
    <x:row r="16" ht="23" customHeight="1">
      <x:c r="A16" s="1"/>
      <x:c r="B16" s="1" t="str">
        <x:v>Extra total revenue</x:v>
      </x:c>
      <x:c r="C16" s="9" t="n">
        <x:f>$C$8*C15</x:f>
        <x:v>7698.271558945365</x:v>
      </x:c>
      <x:c r="D16" s="9" t="n">
        <x:f>$C$8*D15</x:f>
        <x:v>4924.282577810479</x:v>
      </x:c>
      <x:c r="E16" s="9" t="n">
        <x:f>$C$8*E15</x:f>
        <x:v>10647.930506209635</x:v>
      </x:c>
      <x:c r="F16" s="1"/>
      <x:c r="G16" s="1"/>
      <x:c r="H16" s="1"/>
      <x:c r="I16" s="1"/>
      <x:c r="J16" s="1"/>
    </x:row>
    <x:row r="17" ht="23" customHeight="1">
      <x:c r="A17" s="1"/>
      <x:c r="B17" s="1" t="str">
        <x:v>Contribution before costs</x:v>
      </x:c>
      <x:c r="C17" s="9" t="n">
        <x:f>C16*$C$9</x:f>
        <x:v>3849.1357794726823</x:v>
      </x:c>
      <x:c r="D17" s="9" t="n">
        <x:f>D16*$C$9</x:f>
        <x:v>2462.1412889052394</x:v>
      </x:c>
      <x:c r="E17" s="9" t="n">
        <x:f>E16*$C$9</x:f>
        <x:v>5323.965253104818</x:v>
      </x:c>
      <x:c r="F17" s="1"/>
      <x:c r="G17" s="1"/>
      <x:c r="H17" s="1"/>
      <x:c r="I17" s="1"/>
      <x:c r="J17" s="1"/>
    </x:row>
    <x:row r="18" ht="23" customHeight="1">
      <x:c r="A18" s="1"/>
      <x:c r="B18" s="1" t="str">
        <x:v>Email + fixed costs</x:v>
      </x:c>
      <x:c r="C18" s="9" t="n">
        <x:f>$C$8*$C$10+$C$11</x:f>
        <x:v>1000</x:v>
      </x:c>
      <x:c r="D18" s="9" t="n">
        <x:f>$C$8*$C$10+$C$11</x:f>
        <x:v>1000</x:v>
      </x:c>
      <x:c r="E18" s="9" t="n">
        <x:f>$C$8*$C$10+$C$11</x:f>
        <x:v>1000</x:v>
      </x:c>
      <x:c r="F18" s="1"/>
      <x:c r="G18" s="1"/>
      <x:c r="H18" s="1"/>
      <x:c r="I18" s="1"/>
      <x:c r="J18" s="1"/>
    </x:row>
    <x:row r="19" ht="23" customHeight="1">
      <x:c r="A19" s="1"/>
      <x:c r="B19" s="21" t="str">
        <x:v>Contribution after costs</x:v>
      </x:c>
      <x:c r="C19" s="22" t="n">
        <x:f>C17-C18</x:f>
        <x:v>2849.1357794726823</x:v>
      </x:c>
      <x:c r="D19" s="22" t="n">
        <x:f>D17-D18</x:f>
        <x:v>1462.1412889052394</x:v>
      </x:c>
      <x:c r="E19" s="22" t="n">
        <x:f>E17-E18</x:f>
        <x:v>4323.965253104818</x:v>
      </x:c>
      <x:c r="F19" s="1"/>
      <x:c r="G19" s="1"/>
      <x:c r="H19" s="1"/>
      <x:c r="I19" s="1"/>
      <x:c r="J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3" customHeight="1">
      <x:c r="A21" s="1"/>
      <x:c r="B21" s="1" t="str">
        <x:v>Break-even customers</x:v>
      </x:c>
      <x:c r="C21" s="8" t="n">
        <x:f>IF(C15*C9-C10&gt;0,ROUNDUP(C11/(C15*C9-C10),0),"No break-even")</x:f>
        <x:v>1493</x:v>
      </x:c>
      <x:c r="D21" s="1"/>
      <x:c r="E21" s="1"/>
      <x:c r="F21" s="1"/>
      <x:c r="G21" s="1"/>
      <x:c r="H21" s="1"/>
      <x:c r="I21" s="1"/>
      <x:c r="J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3" customHeight="1">
      <x:c r="A23" s="1"/>
      <x:c r="B23" s="4" t="str">
        <x:v>The interval changes only the estimated historical revenue effect. It excludes uncertainty about future customers, costs, margin, and changes since 2008. Negative values are possible. A positive estimate is not a guarantee of profit.</x:v>
      </x:c>
      <x:c r="C23" s="4"/>
      <x:c r="D23" s="4"/>
      <x:c r="E23" s="4"/>
      <x:c r="F23" s="4"/>
      <x:c r="G23" s="4"/>
      <x:c r="H23" s="4"/>
      <x:c r="I23" s="4"/>
      <x:c r="J23" s="4"/>
    </x:row>
    <x:row r="24" ht="23" customHeight="1">
      <x:c r="A24" s="1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23" customHeight="1">
      <x:c r="A25" s="1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34" customHeight="1">
      <x:c r="A28" s="1"/>
      <x:c r="B28" s="7" t="str">
        <x:v>Contact volume</x:v>
      </x:c>
      <x:c r="C28" s="7" t="str">
        <x:v>Modeled contribution</x:v>
      </x:c>
      <x:c r="D28" s="1"/>
      <x:c r="E28" s="1"/>
      <x:c r="F28" s="1"/>
      <x:c r="G28" s="1"/>
      <x:c r="H28" s="1"/>
      <x:c r="I28" s="1"/>
      <x:c r="J28" s="1"/>
    </x:row>
    <x:row r="29" ht="23" customHeight="1">
      <x:c r="A29" s="1"/>
      <x:c r="B29" s="8" t="n">
        <x:v>0</x:v>
      </x:c>
      <x:c r="C29" s="9" t="n">
        <x:f>B29*($C$15*$C$9-$C$10)-$C$11</x:f>
        <x:v>-500</x:v>
      </x:c>
      <x:c r="D29" s="1"/>
      <x:c r="E29" s="1"/>
      <x:c r="F29" s="1"/>
      <x:c r="G29" s="1"/>
      <x:c r="H29" s="1"/>
      <x:c r="I29" s="1"/>
      <x:c r="J29" s="1"/>
    </x:row>
    <x:row r="30" ht="23" customHeight="1">
      <x:c r="A30" s="1"/>
      <x:c r="B30" s="8" t="n">
        <x:v>10000</x:v>
      </x:c>
      <x:c r="C30" s="9" t="n">
        <x:f>B30*($C$15*$C$9-$C$10)-$C$11</x:f>
        <x:v>2849.1357794726823</x:v>
      </x:c>
      <x:c r="D30" s="1"/>
      <x:c r="E30" s="1"/>
      <x:c r="F30" s="1"/>
      <x:c r="G30" s="1"/>
      <x:c r="H30" s="1"/>
      <x:c r="I30" s="1"/>
      <x:c r="J30" s="1"/>
    </x:row>
    <x:row r="31" ht="23" customHeight="1">
      <x:c r="A31" s="1"/>
      <x:c r="B31" s="8" t="n">
        <x:v>20000</x:v>
      </x:c>
      <x:c r="C31" s="9" t="n">
        <x:f>B31*($C$15*$C$9-$C$10)-$C$11</x:f>
        <x:v>6198.271558945365</x:v>
      </x:c>
      <x:c r="D31" s="1"/>
      <x:c r="E31" s="1"/>
      <x:c r="F31" s="1"/>
      <x:c r="G31" s="1"/>
      <x:c r="H31" s="1"/>
      <x:c r="I31" s="1"/>
      <x:c r="J31" s="1"/>
    </x:row>
    <x:row r="32" ht="23" customHeight="1">
      <x:c r="A32" s="1"/>
      <x:c r="B32" s="8" t="n">
        <x:v>30000</x:v>
      </x:c>
      <x:c r="C32" s="9" t="n">
        <x:f>B32*($C$15*$C$9-$C$10)-$C$11</x:f>
        <x:v>9547.407338418046</x:v>
      </x:c>
      <x:c r="D32" s="1"/>
      <x:c r="E32" s="1"/>
      <x:c r="F32" s="1"/>
      <x:c r="G32" s="1"/>
      <x:c r="H32" s="1"/>
      <x:c r="I32" s="1"/>
      <x:c r="J32" s="1"/>
    </x:row>
    <x:row r="33" ht="23" customHeight="1">
      <x:c r="A33" s="1"/>
      <x:c r="B33" s="8" t="n">
        <x:v>40000</x:v>
      </x:c>
      <x:c r="C33" s="9" t="n">
        <x:f>B33*($C$15*$C$9-$C$10)-$C$11</x:f>
        <x:v>12896.54311789073</x:v>
      </x:c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8" t="n">
        <x:v>50000</x:v>
      </x:c>
      <x:c r="C34" s="9" t="n">
        <x:f>B34*($C$15*$C$9-$C$10)-$C$11</x:f>
        <x:v>16245.67889736341</x:v>
      </x:c>
      <x:c r="D34" s="1"/>
      <x:c r="E34" s="1"/>
      <x:c r="F34" s="1"/>
      <x:c r="G34" s="1"/>
      <x:c r="H34" s="1"/>
      <x:c r="I34" s="1"/>
      <x:c r="J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4" t="str">
        <x:v>Decision rule: validate the response on a current audience before committing a larger budget. At the default inputs, the men’s creative produces a modeled contribution of about $2,849 for 10,000 contacts. Source: Campaigns tab, columns H–J.</x:v>
      </x:c>
      <x:c r="C45" s="4"/>
      <x:c r="D45" s="4"/>
      <x:c r="E45" s="4"/>
      <x:c r="F45" s="4"/>
      <x:c r="G45" s="4"/>
      <x:c r="H45" s="4"/>
      <x:c r="I45" s="4"/>
      <x:c r="J45" s="4"/>
    </x:row>
    <x:row r="46" ht="23" customHeight="1">
      <x:c r="A46" s="1"/>
      <x:c r="B46" s="4"/>
      <x:c r="C46" s="4"/>
      <x:c r="D46" s="4"/>
      <x:c r="E46" s="4"/>
      <x:c r="F46" s="4"/>
      <x:c r="G46" s="4"/>
      <x:c r="H46" s="4"/>
      <x:c r="I46" s="4"/>
      <x:c r="J46" s="4"/>
    </x:row>
    <x:row r="47" ht="23" customHeight="1">
      <x:c r="A47" s="1"/>
      <x:c r="B47" s="4"/>
      <x:c r="C47" s="4"/>
      <x:c r="D47" s="4"/>
      <x:c r="E47" s="4"/>
      <x:c r="F47" s="4"/>
      <x:c r="G47" s="4"/>
      <x:c r="H47" s="4"/>
      <x:c r="I47" s="4"/>
      <x:c r="J47" s="4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</x:sheetData>
  <x:mergeCells>
    <x:mergeCell ref="B2:J2"/>
    <x:mergeCell ref="B3:J4"/>
    <x:mergeCell ref="D7:G7"/>
    <x:mergeCell ref="D8:G8"/>
    <x:mergeCell ref="D9:G9"/>
    <x:mergeCell ref="D10:G10"/>
    <x:mergeCell ref="D11:G11"/>
    <x:mergeCell ref="B23:J25"/>
    <x:mergeCell ref="B45:J47"/>
  </x:mergeCells>
  <x:conditionalFormatting sqref="C19:E19">
    <x:cfRule type="cellIs" dxfId="0" priority="1" operator="lessThan">
      <x:formula>0</x:formula>
    </x:cfRule>
  </x:conditionalFormatting>
  <x:dataValidations count="5">
    <x:dataValidation type="list" sqref="C7">
      <x:formula1>"Men's merchandise,Women's merchandise"</x:formula1>
    </x:dataValidation>
    <x:dataValidation type="whole" operator="between" sqref="C8">
      <x:formula1>0</x:formula1>
      <x:formula2>1000000</x:formula2>
    </x:dataValidation>
    <x:dataValidation type="decimal" operator="between" sqref="C9">
      <x:formula1>0</x:formula1>
      <x:formula2>1</x:formula2>
    </x:dataValidation>
    <x:dataValidation type="decimal" operator="between" sqref="C10">
      <x:formula1>0</x:formula1>
      <x:formula2>1000000</x:formula2>
    </x:dataValidation>
    <x:dataValidation type="decimal" operator="between" sqref="C11">
      <x:formula1>0</x:formula1>
      <x:formula2>1000000</x:formula2>
    </x:dataValidation>
  </x:dataValidations>
  <x:pageMargins left="0.7" right="0.7" top="0.75" bottom="0.75" header="0.3" footer="0.3"/>
  <x:drawing xmlns:r="http://schemas.openxmlformats.org/officeDocument/2006/relationships" r:id="R26fc98c2a43c475c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7" customHeight="1">
      <x:c r="A2" s="1"/>
      <x:c r="B2" s="2" t="str">
        <x:v>Campaign evidence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4" t="str">
        <x:v>Assigned-customer denominators preserve the randomized comparison. Confidence intervals and adjusted p-values are calculated in Python.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1"/>
      <x:c r="B6" s="7" t="str">
        <x:v>Assignment</x:v>
      </x:c>
      <x:c r="C6" s="7" t="str">
        <x:v>Customers</x:v>
      </x:c>
      <x:c r="D6" s="7" t="str">
        <x:v>Purchases</x:v>
      </x:c>
      <x:c r="E6" s="7" t="str">
        <x:v>Conversion</x:v>
      </x:c>
      <x:c r="F6" s="7" t="str">
        <x:v>Revenue</x:v>
      </x:c>
      <x:c r="G6" s="7" t="str">
        <x:v>Per customer</x:v>
      </x:c>
      <x:c r="H6" s="7" t="str">
        <x:v>Extra revenue / customer</x:v>
      </x:c>
      <x:c r="I6" s="7" t="str">
        <x:v>95% lower</x:v>
      </x:c>
      <x:c r="J6" s="7" t="str">
        <x:v>95% upper</x:v>
      </x:c>
      <x:c r="K6" s="7" t="str">
        <x:v>Uplift (pp)</x:v>
      </x:c>
      <x:c r="L6" s="7" t="str">
        <x:v>Holm p</x:v>
      </x:c>
    </x:row>
    <x:row r="7" ht="23" customHeight="1">
      <x:c r="A7" s="1"/>
      <x:c r="B7" s="1" t="str">
        <x:v>No email</x:v>
      </x:c>
      <x:c r="C7" s="8" t="n">
        <x:f>SUMIFS('Source data'!$F$7:$F$60,'Source data'!$B$7:$B$60,B7)</x:f>
        <x:v>21306</x:v>
      </x:c>
      <x:c r="D7" s="8" t="n">
        <x:f>SUMIFS('Source data'!$G$7:$G$60,'Source data'!$B$7:$B$60,B7)</x:f>
        <x:v>122</x:v>
      </x:c>
      <x:c r="E7" s="10" t="n">
        <x:f>IFERROR(D7/C7,0)</x:f>
        <x:v>0.005726086548390125</x:v>
      </x:c>
      <x:c r="F7" s="9" t="n">
        <x:f>SUMIFS('Source data'!$I$7:$I$60,'Source data'!$B$7:$B$60,B7)</x:f>
        <x:v>13908.33</x:v>
      </x:c>
      <x:c r="G7" s="9" t="n">
        <x:f>IFERROR(F7/C7,0)</x:f>
        <x:v>0.6527893551112363</x:v>
      </x:c>
      <x:c r="H7" s="9"/>
      <x:c r="I7" s="9"/>
      <x:c r="J7" s="9"/>
      <x:c r="K7" s="11"/>
      <x:c r="L7" s="12"/>
    </x:row>
    <x:row r="8" ht="23" customHeight="1">
      <x:c r="A8" s="1"/>
      <x:c r="B8" s="1" t="str">
        <x:v>Men's merchandise</x:v>
      </x:c>
      <x:c r="C8" s="8" t="n">
        <x:f>SUMIFS('Source data'!$F$7:$F$60,'Source data'!$B$7:$B$60,B8)</x:f>
        <x:v>21307</x:v>
      </x:c>
      <x:c r="D8" s="8" t="n">
        <x:f>SUMIFS('Source data'!$G$7:$G$60,'Source data'!$B$7:$B$60,B8)</x:f>
        <x:v>267</x:v>
      </x:c>
      <x:c r="E8" s="10" t="n">
        <x:f>IFERROR(D8/C8,0)</x:f>
        <x:v>0.01253109306800582</x:v>
      </x:c>
      <x:c r="F8" s="9" t="n">
        <x:f>SUMIFS('Source data'!$I$7:$I$60,'Source data'!$B$7:$B$60,B8)</x:f>
        <x:v>30311.69</x:v>
      </x:c>
      <x:c r="G8" s="9" t="n">
        <x:f>IFERROR(F8/C8,0)</x:f>
        <x:v>1.4226165110057727</x:v>
      </x:c>
      <x:c r="H8" s="9" t="n">
        <x:f>G8-$G$7</x:f>
        <x:v>0.7698271558945364</x:v>
      </x:c>
      <x:c r="I8" s="9" t="n">
        <x:v>0.49242825778104793</x:v>
      </x:c>
      <x:c r="J8" s="9" t="n">
        <x:v>1.0647930506209635</x:v>
      </x:c>
      <x:c r="K8" s="11" t="n">
        <x:f>(E8-$E$7)*100</x:f>
        <x:v>0.6805006519615695</x:v>
      </x:c>
      <x:c r="L8" s="12" t="n">
        <x:v>2.334850654966278e-13</x:v>
      </x:c>
    </x:row>
    <x:row r="9" ht="23" customHeight="1">
      <x:c r="A9" s="1"/>
      <x:c r="B9" s="1" t="str">
        <x:v>Women's merchandise</x:v>
      </x:c>
      <x:c r="C9" s="8" t="n">
        <x:f>SUMIFS('Source data'!$F$7:$F$60,'Source data'!$B$7:$B$60,B9)</x:f>
        <x:v>21387</x:v>
      </x:c>
      <x:c r="D9" s="8" t="n">
        <x:f>SUMIFS('Source data'!$G$7:$G$60,'Source data'!$B$7:$B$60,B9)</x:f>
        <x:v>189</x:v>
      </x:c>
      <x:c r="E9" s="10" t="n">
        <x:f>IFERROR(D9/C9,0)</x:f>
        <x:v>0.008837144059475383</x:v>
      </x:c>
      <x:c r="F9" s="9" t="n">
        <x:f>SUMIFS('Source data'!$I$7:$I$60,'Source data'!$B$7:$B$60,B9)</x:f>
        <x:v>23038.109999999997</x:v>
      </x:c>
      <x:c r="G9" s="9" t="n">
        <x:f>IFERROR(F9/C9,0)</x:f>
        <x:v>1.0772015710478327</x:v>
      </x:c>
      <x:c r="H9" s="9" t="n">
        <x:f>G9-$G$7</x:f>
        <x:v>0.4244122159365964</x:v>
      </x:c>
      <x:c r="I9" s="9" t="n">
        <x:v>0.16192691595820546</x:v>
      </x:c>
      <x:c r="J9" s="9" t="n">
        <x:v>0.6794630253046675</x:v>
      </x:c>
      <x:c r="K9" s="11" t="n">
        <x:f>(E9-$E$7)*100</x:f>
        <x:v>0.3111057511085258</x:v>
      </x:c>
      <x:c r="L9" s="12" t="n">
        <x:v>0.00016499877634158652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4" t="str">
        <x:v>Primary tests: two-sided Fisher exact tests, Holm adjustment across the two email-versus-control contrasts. Revenue is secondary: individual 95% percentile intervals from 5,000 customer-level bootstrap resamples. Merchandise names do not indicate customer gender.</x:v>
      </x:c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23" customHeight="1">
      <x:c r="A30" s="1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23" customHeight="1">
      <x:c r="A31" s="1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</x:sheetData>
  <x:mergeCells>
    <x:mergeCell ref="B2:L2"/>
    <x:mergeCell ref="B3:L4"/>
    <x:mergeCell ref="B29:L31"/>
  </x:mergeCells>
  <x:pageMargins left="0.7" right="0.7" top="0.75" bottom="0.75" header="0.3" footer="0.3"/>
  <x:drawing xmlns:r="http://schemas.openxmlformats.org/officeDocument/2006/relationships" r:id="R9b60ca13b85a46ad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" hidden="0" customWidth="1"/>
    <x:col min="2" max="2" width="27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7" customHeight="1">
      <x:c r="A2" s="1"/>
      <x:c r="B2" s="2" t="str">
        <x:v>Explore customer segments</x:v>
      </x:c>
      <x:c r="C2" s="1"/>
      <x:c r="D2" s="1"/>
      <x:c r="E2" s="1"/>
      <x:c r="F2" s="1"/>
      <x:c r="G2" s="1"/>
      <x:c r="H2" s="1"/>
      <x:c r="I2" s="1"/>
    </x:row>
    <x:row r="3" ht="23" customHeight="1">
      <x:c r="A3" s="1"/>
      <x:c r="B3" s="4" t="str">
        <x:v>Choose one campaign and one prior channel. This is exploratory: subgroup differences do not establish a targeting policy.</x:v>
      </x:c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3" customHeight="1">
      <x:c r="A6" s="1"/>
      <x:c r="B6" s="1" t="str">
        <x:v>Campaign</x:v>
      </x:c>
      <x:c r="C6" s="15" t="str">
        <x:v>Men's merchandise</x:v>
      </x:c>
      <x:c r="D6" s="1"/>
      <x:c r="E6" s="1"/>
      <x:c r="F6" s="1"/>
      <x:c r="G6" s="1"/>
      <x:c r="H6" s="1"/>
      <x:c r="I6" s="1"/>
    </x:row>
    <x:row r="7" ht="23" customHeight="1">
      <x:c r="A7" s="1"/>
      <x:c r="B7" s="1" t="str">
        <x:v>Prior channel</x:v>
      </x:c>
      <x:c r="C7" s="15" t="str">
        <x:v>Web</x:v>
      </x:c>
      <x:c r="D7" s="1"/>
      <x:c r="E7" s="1"/>
      <x:c r="F7" s="1"/>
      <x:c r="G7" s="1"/>
      <x:c r="H7" s="1"/>
      <x:c r="I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34" customHeight="1">
      <x:c r="A10" s="1"/>
      <x:c r="B10" s="7" t="str">
        <x:v>Recency before email</x:v>
      </x:c>
      <x:c r="C10" s="7" t="str">
        <x:v>Email customers</x:v>
      </x:c>
      <x:c r="D10" s="7" t="str">
        <x:v>Email purchases</x:v>
      </x:c>
      <x:c r="E10" s="7" t="str">
        <x:v>Control customers</x:v>
      </x:c>
      <x:c r="F10" s="7" t="str">
        <x:v>Control purchases</x:v>
      </x:c>
      <x:c r="G10" s="7" t="str">
        <x:v>Email conversion</x:v>
      </x:c>
      <x:c r="H10" s="7" t="str">
        <x:v>Control conversion</x:v>
      </x:c>
      <x:c r="I10" s="7" t="str">
        <x:v>Difference (pp)</x:v>
      </x:c>
    </x:row>
    <x:row r="11" ht="23" customHeight="1">
      <x:c r="A11" s="1"/>
      <x:c r="B11" s="1" t="str">
        <x:v>1–3 months</x:v>
      </x:c>
      <x:c r="C11" s="8" t="n">
        <x:f>SUMIFS('Source data'!$F$7:$F$60,'Source data'!$B$7:$B$60,$C$6,'Source data'!$C$7:$C$60,$C$7,'Source data'!$D$7:$D$60,B11)</x:f>
        <x:v>3134</x:v>
      </x:c>
      <x:c r="D11" s="8" t="n">
        <x:f>SUMIFS('Source data'!$G$7:$G$60,'Source data'!$B$7:$B$60,$C$6,'Source data'!$C$7:$C$60,$C$7,'Source data'!$D$7:$D$60,B11)</x:f>
        <x:v>50</x:v>
      </x:c>
      <x:c r="E11" s="8" t="n">
        <x:f>SUMIFS('Source data'!$F$7:$F$60,'Source data'!$B$7:$B$60,"No email",'Source data'!$C$7:$C$60,$C$7,'Source data'!$D$7:$D$60,B11)</x:f>
        <x:v>3097</x:v>
      </x:c>
      <x:c r="F11" s="8" t="n">
        <x:f>SUMIFS('Source data'!$G$7:$G$60,'Source data'!$B$7:$B$60,"No email",'Source data'!$C$7:$C$60,$C$7,'Source data'!$D$7:$D$60,B11)</x:f>
        <x:v>29</x:v>
      </x:c>
      <x:c r="G11" s="10" t="n">
        <x:f>IFERROR(D11/C11,0)</x:f>
        <x:v>0.01595405232929164</x:v>
      </x:c>
      <x:c r="H11" s="10" t="n">
        <x:f>IFERROR(F11/E11,0)</x:f>
        <x:v>0.009363900548918308</x:v>
      </x:c>
      <x:c r="I11" s="11" t="n">
        <x:f>(G11-H11)*100</x:f>
        <x:v>0.6590151780373331</x:v>
      </x:c>
    </x:row>
    <x:row r="12" ht="23" customHeight="1">
      <x:c r="A12" s="1"/>
      <x:c r="B12" s="1" t="str">
        <x:v>4–6 months</x:v>
      </x:c>
      <x:c r="C12" s="8" t="n">
        <x:f>SUMIFS('Source data'!$F$7:$F$60,'Source data'!$B$7:$B$60,$C$6,'Source data'!$C$7:$C$60,$C$7,'Source data'!$D$7:$D$60,B12)</x:f>
        <x:v>2075</x:v>
      </x:c>
      <x:c r="D12" s="8" t="n">
        <x:f>SUMIFS('Source data'!$G$7:$G$60,'Source data'!$B$7:$B$60,$C$6,'Source data'!$C$7:$C$60,$C$7,'Source data'!$D$7:$D$60,B12)</x:f>
        <x:v>27</x:v>
      </x:c>
      <x:c r="E12" s="8" t="n">
        <x:f>SUMIFS('Source data'!$F$7:$F$60,'Source data'!$B$7:$B$60,"No email",'Source data'!$C$7:$C$60,$C$7,'Source data'!$D$7:$D$60,B12)</x:f>
        <x:v>2124</x:v>
      </x:c>
      <x:c r="F12" s="8" t="n">
        <x:f>SUMIFS('Source data'!$G$7:$G$60,'Source data'!$B$7:$B$60,"No email",'Source data'!$C$7:$C$60,$C$7,'Source data'!$D$7:$D$60,B12)</x:f>
        <x:v>12</x:v>
      </x:c>
      <x:c r="G12" s="10" t="n">
        <x:f>IFERROR(D12/C12,0)</x:f>
        <x:v>0.013012048192771084</x:v>
      </x:c>
      <x:c r="H12" s="10" t="n">
        <x:f>IFERROR(F12/E12,0)</x:f>
        <x:v>0.005649717514124294</x:v>
      </x:c>
      <x:c r="I12" s="11" t="n">
        <x:f>(G12-H12)*100</x:f>
        <x:v>0.736233067864679</x:v>
      </x:c>
    </x:row>
    <x:row r="13" ht="23" customHeight="1">
      <x:c r="A13" s="1"/>
      <x:c r="B13" s="1" t="str">
        <x:v>7–12 months</x:v>
      </x:c>
      <x:c r="C13" s="8" t="n">
        <x:f>SUMIFS('Source data'!$F$7:$F$60,'Source data'!$B$7:$B$60,$C$6,'Source data'!$C$7:$C$60,$C$7,'Source data'!$D$7:$D$60,B13)</x:f>
        <x:v>4281</x:v>
      </x:c>
      <x:c r="D13" s="8" t="n">
        <x:f>SUMIFS('Source data'!$G$7:$G$60,'Source data'!$B$7:$B$60,$C$6,'Source data'!$C$7:$C$60,$C$7,'Source data'!$D$7:$D$60,B13)</x:f>
        <x:v>46</x:v>
      </x:c>
      <x:c r="E13" s="8" t="n">
        <x:f>SUMIFS('Source data'!$F$7:$F$60,'Source data'!$B$7:$B$60,"No email",'Source data'!$C$7:$C$60,$C$7,'Source data'!$D$7:$D$60,B13)</x:f>
        <x:v>4152</x:v>
      </x:c>
      <x:c r="F13" s="8" t="n">
        <x:f>SUMIFS('Source data'!$G$7:$G$60,'Source data'!$B$7:$B$60,"No email",'Source data'!$C$7:$C$60,$C$7,'Source data'!$D$7:$D$60,B13)</x:f>
        <x:v>13</x:v>
      </x:c>
      <x:c r="G13" s="10" t="n">
        <x:f>IFERROR(D13/C13,0)</x:f>
        <x:v>0.010745153001635132</x:v>
      </x:c>
      <x:c r="H13" s="10" t="n">
        <x:f>IFERROR(F13/E13,0)</x:f>
        <x:v>0.0031310211946050095</x:v>
      </x:c>
      <x:c r="I13" s="11" t="n">
        <x:f>(G13-H13)*100</x:f>
        <x:v>0.7614131807030122</x:v>
      </x:c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</x:row>
    <x:row r="16" ht="23" customHeight="1">
      <x:c r="A16" s="1"/>
      <x:c r="B16" s="4" t="str">
        <x:v>These narrower cells can contain very few purchases. Use this table to form questions, not to select a winning segment. The website provides uncertainty intervals for broader, separately defined segments. Always divide summed purchases by summed customers; do not average percentages.</x:v>
      </x:c>
      <x:c r="C16" s="4"/>
      <x:c r="D16" s="4"/>
      <x:c r="E16" s="4"/>
      <x:c r="F16" s="4"/>
      <x:c r="G16" s="4"/>
      <x:c r="H16" s="4"/>
      <x:c r="I16" s="4"/>
    </x:row>
    <x:row r="17" ht="23" customHeight="1">
      <x:c r="A17" s="1"/>
      <x:c r="B17" s="4"/>
      <x:c r="C17" s="4"/>
      <x:c r="D17" s="4"/>
      <x:c r="E17" s="4"/>
      <x:c r="F17" s="4"/>
      <x:c r="G17" s="4"/>
      <x:c r="H17" s="4"/>
      <x:c r="I17" s="4"/>
    </x:row>
    <x:row r="18" ht="23" customHeight="1">
      <x:c r="A18" s="1"/>
      <x:c r="B18" s="4"/>
      <x:c r="C18" s="4"/>
      <x:c r="D18" s="4"/>
      <x:c r="E18" s="4"/>
      <x:c r="F18" s="4"/>
      <x:c r="G18" s="4"/>
      <x:c r="H18" s="4"/>
      <x:c r="I18" s="4"/>
    </x:row>
    <x:row r="19" ht="23" customHeight="1">
      <x:c r="A19" s="1"/>
      <x:c r="B19" s="4"/>
      <x:c r="C19" s="4"/>
      <x:c r="D19" s="4"/>
      <x:c r="E19" s="4"/>
      <x:c r="F19" s="4"/>
      <x:c r="G19" s="4"/>
      <x:c r="H19" s="4"/>
      <x:c r="I19" s="4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34" customHeight="1">
      <x:c r="A22" s="1"/>
      <x:c r="B22" s="7" t="str">
        <x:v>Reconciliation check</x:v>
      </x:c>
      <x:c r="C22" s="7" t="str">
        <x:v>Result</x:v>
      </x:c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All source customers</x:v>
      </x:c>
      <x:c r="C23" s="1" t="n">
        <x:f>SUM('Source data'!F7:F60)</x:f>
        <x:v>64000</x:v>
      </x:c>
      <x:c r="D23" s="1"/>
      <x:c r="E23" s="1"/>
      <x:c r="F23" s="1"/>
      <x:c r="G23" s="1"/>
      <x:c r="H23" s="1"/>
      <x:c r="I23" s="1"/>
    </x:row>
    <x:row r="24" ht="23" customHeight="1">
      <x:c r="A24" s="1"/>
      <x:c r="B24" s="1" t="str">
        <x:v>All source purchases</x:v>
      </x:c>
      <x:c r="C24" s="1" t="n">
        <x:f>SUM('Source data'!G7:G60)</x:f>
        <x:v>578</x:v>
      </x:c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Revenue total</x:v>
      </x:c>
      <x:c r="C25" s="9" t="n">
        <x:f>SUM('Source data'!I7:I60)</x:f>
        <x:v>67258.12999999999</x:v>
      </x:c>
      <x:c r="D25" s="1"/>
      <x:c r="E25" s="1"/>
      <x:c r="F25" s="1"/>
      <x:c r="G25" s="1"/>
      <x:c r="H25" s="1"/>
      <x:c r="I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</x:row>
  </x:sheetData>
  <x:mergeCells>
    <x:mergeCell ref="B2:I2"/>
    <x:mergeCell ref="B3:I4"/>
    <x:mergeCell ref="B16:I19"/>
  </x:mergeCells>
  <x:dataValidations count="2">
    <x:dataValidation type="list" sqref="C6">
      <x:formula1>"Men's merchandise,Women's merchandise"</x:formula1>
    </x:dataValidation>
    <x:dataValidation type="list" sqref="C7">
      <x:formula1>"Web,Phone,Multichannel"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" hidden="0" customWidth="1"/>
    <x:col min="2" max="2" width="24" hidden="0" customWidth="1"/>
    <x:col min="3" max="3" width="20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7" customHeight="1">
      <x:c r="A2" s="1"/>
      <x:c r="B2" s="2" t="str">
        <x:v>Source data</x:v>
      </x:c>
      <x:c r="C2" s="1"/>
      <x:c r="D2" s="1"/>
      <x:c r="E2" s="1"/>
      <x:c r="F2" s="1"/>
      <x:c r="G2" s="1"/>
      <x:c r="H2" s="1"/>
      <x:c r="I2" s="1"/>
    </x:row>
    <x:row r="3" ht="23" customHeight="1">
      <x:c r="A3" s="1"/>
      <x:c r="B3" s="4" t="str">
        <x:v>54 disjoint cells from 64,000 customers. Sum counts and revenue; recompute rates from totals. Historical 2008 experiment.</x:v>
      </x:c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34" customHeight="1">
      <x:c r="A6" s="1"/>
      <x:c r="B6" s="7" t="str">
        <x:v>Campaign</x:v>
      </x:c>
      <x:c r="C6" s="7" t="str">
        <x:v>Prior channel</x:v>
      </x:c>
      <x:c r="D6" s="7" t="str">
        <x:v>Recency</x:v>
      </x:c>
      <x:c r="E6" s="7" t="str">
        <x:v>Newbie flag</x:v>
      </x:c>
      <x:c r="F6" s="7" t="str">
        <x:v>Customers</x:v>
      </x:c>
      <x:c r="G6" s="7" t="str">
        <x:v>Purchasers</x:v>
      </x:c>
      <x:c r="H6" s="7" t="str">
        <x:v>Visitors</x:v>
      </x:c>
      <x:c r="I6" s="7" t="str">
        <x:v>Revenue</x:v>
      </x:c>
    </x:row>
    <x:row r="7" ht="23" customHeight="1">
      <x:c r="A7" s="1"/>
      <x:c r="B7" s="1" t="str">
        <x:v>Men's merchandise</x:v>
      </x:c>
      <x:c r="C7" s="1" t="str">
        <x:v>Multichannel</x:v>
      </x:c>
      <x:c r="D7" s="1" t="str">
        <x:v>1–3 months</x:v>
      </x:c>
      <x:c r="E7" s="1" t="n">
        <x:v>0</x:v>
      </x:c>
      <x:c r="F7" s="8" t="n">
        <x:v>437</x:v>
      </x:c>
      <x:c r="G7" s="8" t="n">
        <x:v>11</x:v>
      </x:c>
      <x:c r="H7" s="8" t="n">
        <x:v>108</x:v>
      </x:c>
      <x:c r="I7" s="9" t="n">
        <x:v>1136.32</x:v>
      </x:c>
    </x:row>
    <x:row r="8" ht="23" customHeight="1">
      <x:c r="A8" s="1"/>
      <x:c r="B8" s="1" t="str">
        <x:v>Men's merchandise</x:v>
      </x:c>
      <x:c r="C8" s="1" t="str">
        <x:v>Multichannel</x:v>
      </x:c>
      <x:c r="D8" s="1" t="str">
        <x:v>1–3 months</x:v>
      </x:c>
      <x:c r="E8" s="1" t="n">
        <x:v>1</x:v>
      </x:c>
      <x:c r="F8" s="8" t="n">
        <x:v>764</x:v>
      </x:c>
      <x:c r="G8" s="8" t="n">
        <x:v>11</x:v>
      </x:c>
      <x:c r="H8" s="8" t="n">
        <x:v>169</x:v>
      </x:c>
      <x:c r="I8" s="9" t="n">
        <x:v>1195.08</x:v>
      </x:c>
    </x:row>
    <x:row r="9" ht="23" customHeight="1">
      <x:c r="A9" s="1"/>
      <x:c r="B9" s="1" t="str">
        <x:v>Men's merchandise</x:v>
      </x:c>
      <x:c r="C9" s="1" t="str">
        <x:v>Multichannel</x:v>
      </x:c>
      <x:c r="D9" s="1" t="str">
        <x:v>4–6 months</x:v>
      </x:c>
      <x:c r="E9" s="1" t="n">
        <x:v>0</x:v>
      </x:c>
      <x:c r="F9" s="8" t="n">
        <x:v>236</x:v>
      </x:c>
      <x:c r="G9" s="8" t="n">
        <x:v>4</x:v>
      </x:c>
      <x:c r="H9" s="8" t="n">
        <x:v>62</x:v>
      </x:c>
      <x:c r="I9" s="9" t="n">
        <x:v>617.54</x:v>
      </x:c>
    </x:row>
    <x:row r="10" ht="23" customHeight="1">
      <x:c r="A10" s="1"/>
      <x:c r="B10" s="1" t="str">
        <x:v>Men's merchandise</x:v>
      </x:c>
      <x:c r="C10" s="1" t="str">
        <x:v>Multichannel</x:v>
      </x:c>
      <x:c r="D10" s="1" t="str">
        <x:v>4–6 months</x:v>
      </x:c>
      <x:c r="E10" s="1" t="n">
        <x:v>1</x:v>
      </x:c>
      <x:c r="F10" s="8" t="n">
        <x:v>328</x:v>
      </x:c>
      <x:c r="G10" s="8" t="n">
        <x:v>5</x:v>
      </x:c>
      <x:c r="H10" s="8" t="n">
        <x:v>66</x:v>
      </x:c>
      <x:c r="I10" s="9" t="n">
        <x:v>413.48</x:v>
      </x:c>
    </x:row>
    <x:row r="11" ht="23" customHeight="1">
      <x:c r="A11" s="1"/>
      <x:c r="B11" s="1" t="str">
        <x:v>Men's merchandise</x:v>
      </x:c>
      <x:c r="C11" s="1" t="str">
        <x:v>Multichannel</x:v>
      </x:c>
      <x:c r="D11" s="1" t="str">
        <x:v>7–12 months</x:v>
      </x:c>
      <x:c r="E11" s="1" t="n">
        <x:v>0</x:v>
      </x:c>
      <x:c r="F11" s="8" t="n">
        <x:v>385</x:v>
      </x:c>
      <x:c r="G11" s="8" t="n">
        <x:v>9</x:v>
      </x:c>
      <x:c r="H11" s="8" t="n">
        <x:v>81</x:v>
      </x:c>
      <x:c r="I11" s="9" t="n">
        <x:v>720.96</x:v>
      </x:c>
    </x:row>
    <x:row r="12" ht="23" customHeight="1">
      <x:c r="A12" s="1"/>
      <x:c r="B12" s="1" t="str">
        <x:v>Men's merchandise</x:v>
      </x:c>
      <x:c r="C12" s="1" t="str">
        <x:v>Multichannel</x:v>
      </x:c>
      <x:c r="D12" s="1" t="str">
        <x:v>7–12 months</x:v>
      </x:c>
      <x:c r="E12" s="1" t="n">
        <x:v>1</x:v>
      </x:c>
      <x:c r="F12" s="8" t="n">
        <x:v>427</x:v>
      </x:c>
      <x:c r="G12" s="8" t="n">
        <x:v>4</x:v>
      </x:c>
      <x:c r="H12" s="8" t="n">
        <x:v>59</x:v>
      </x:c>
      <x:c r="I12" s="9" t="n">
        <x:v>619.31</x:v>
      </x:c>
    </x:row>
    <x:row r="13" ht="23" customHeight="1">
      <x:c r="A13" s="1"/>
      <x:c r="B13" s="1" t="str">
        <x:v>Men's merchandise</x:v>
      </x:c>
      <x:c r="C13" s="1" t="str">
        <x:v>Phone</x:v>
      </x:c>
      <x:c r="D13" s="1" t="str">
        <x:v>1–3 months</x:v>
      </x:c>
      <x:c r="E13" s="1" t="n">
        <x:v>0</x:v>
      </x:c>
      <x:c r="F13" s="8" t="n">
        <x:v>1467</x:v>
      </x:c>
      <x:c r="G13" s="8" t="n">
        <x:v>24</x:v>
      </x:c>
      <x:c r="H13" s="8" t="n">
        <x:v>335</x:v>
      </x:c>
      <x:c r="I13" s="9" t="n">
        <x:v>2712.74</x:v>
      </x:c>
    </x:row>
    <x:row r="14" ht="23" customHeight="1">
      <x:c r="A14" s="1"/>
      <x:c r="B14" s="1" t="str">
        <x:v>Men's merchandise</x:v>
      </x:c>
      <x:c r="C14" s="1" t="str">
        <x:v>Phone</x:v>
      </x:c>
      <x:c r="D14" s="1" t="str">
        <x:v>1–3 months</x:v>
      </x:c>
      <x:c r="E14" s="1" t="n">
        <x:v>1</x:v>
      </x:c>
      <x:c r="F14" s="8" t="n">
        <x:v>1667</x:v>
      </x:c>
      <x:c r="G14" s="8" t="n">
        <x:v>26</x:v>
      </x:c>
      <x:c r="H14" s="8" t="n">
        <x:v>314</x:v>
      </x:c>
      <x:c r="I14" s="9" t="n">
        <x:v>3093.8</x:v>
      </x:c>
    </x:row>
    <x:row r="15" ht="23" customHeight="1">
      <x:c r="A15" s="1"/>
      <x:c r="B15" s="1" t="str">
        <x:v>Men's merchandise</x:v>
      </x:c>
      <x:c r="C15" s="1" t="str">
        <x:v>Phone</x:v>
      </x:c>
      <x:c r="D15" s="1" t="str">
        <x:v>4–6 months</x:v>
      </x:c>
      <x:c r="E15" s="1" t="n">
        <x:v>0</x:v>
      </x:c>
      <x:c r="F15" s="8" t="n">
        <x:v>1079</x:v>
      </x:c>
      <x:c r="G15" s="8" t="n">
        <x:v>10</x:v>
      </x:c>
      <x:c r="H15" s="8" t="n">
        <x:v>188</x:v>
      </x:c>
      <x:c r="I15" s="9" t="n">
        <x:v>914.3</x:v>
      </x:c>
    </x:row>
    <x:row r="16" ht="23" customHeight="1">
      <x:c r="A16" s="1"/>
      <x:c r="B16" s="1" t="str">
        <x:v>Men's merchandise</x:v>
      </x:c>
      <x:c r="C16" s="1" t="str">
        <x:v>Phone</x:v>
      </x:c>
      <x:c r="D16" s="1" t="str">
        <x:v>4–6 months</x:v>
      </x:c>
      <x:c r="E16" s="1" t="n">
        <x:v>1</x:v>
      </x:c>
      <x:c r="F16" s="8" t="n">
        <x:v>955</x:v>
      </x:c>
      <x:c r="G16" s="8" t="n">
        <x:v>3</x:v>
      </x:c>
      <x:c r="H16" s="8" t="n">
        <x:v>126</x:v>
      </x:c>
      <x:c r="I16" s="9" t="n">
        <x:v>236.52</x:v>
      </x:c>
    </x:row>
    <x:row r="17" ht="23" customHeight="1">
      <x:c r="A17" s="1"/>
      <x:c r="B17" s="1" t="str">
        <x:v>Men's merchandise</x:v>
      </x:c>
      <x:c r="C17" s="1" t="str">
        <x:v>Phone</x:v>
      </x:c>
      <x:c r="D17" s="1" t="str">
        <x:v>7–12 months</x:v>
      </x:c>
      <x:c r="E17" s="1" t="n">
        <x:v>0</x:v>
      </x:c>
      <x:c r="F17" s="8" t="n">
        <x:v>2131</x:v>
      </x:c>
      <x:c r="G17" s="8" t="n">
        <x:v>20</x:v>
      </x:c>
      <x:c r="H17" s="8" t="n">
        <x:v>372</x:v>
      </x:c>
      <x:c r="I17" s="9" t="n">
        <x:v>1927.84</x:v>
      </x:c>
    </x:row>
    <x:row r="18" ht="23" customHeight="1">
      <x:c r="A18" s="1"/>
      <x:c r="B18" s="1" t="str">
        <x:v>Men's merchandise</x:v>
      </x:c>
      <x:c r="C18" s="1" t="str">
        <x:v>Phone</x:v>
      </x:c>
      <x:c r="D18" s="1" t="str">
        <x:v>7–12 months</x:v>
      </x:c>
      <x:c r="E18" s="1" t="n">
        <x:v>1</x:v>
      </x:c>
      <x:c r="F18" s="8" t="n">
        <x:v>1941</x:v>
      </x:c>
      <x:c r="G18" s="8" t="n">
        <x:v>17</x:v>
      </x:c>
      <x:c r="H18" s="8" t="n">
        <x:v>169</x:v>
      </x:c>
      <x:c r="I18" s="9" t="n">
        <x:v>2281.59</x:v>
      </x:c>
    </x:row>
    <x:row r="19" ht="23" customHeight="1">
      <x:c r="A19" s="1"/>
      <x:c r="B19" s="1" t="str">
        <x:v>Men's merchandise</x:v>
      </x:c>
      <x:c r="C19" s="1" t="str">
        <x:v>Web</x:v>
      </x:c>
      <x:c r="D19" s="1" t="str">
        <x:v>1–3 months</x:v>
      </x:c>
      <x:c r="E19" s="1" t="n">
        <x:v>0</x:v>
      </x:c>
      <x:c r="F19" s="8" t="n">
        <x:v>1564</x:v>
      </x:c>
      <x:c r="G19" s="8" t="n">
        <x:v>30</x:v>
      </x:c>
      <x:c r="H19" s="8" t="n">
        <x:v>414</x:v>
      </x:c>
      <x:c r="I19" s="9" t="n">
        <x:v>4221.14</x:v>
      </x:c>
    </x:row>
    <x:row r="20" ht="23" customHeight="1">
      <x:c r="A20" s="1"/>
      <x:c r="B20" s="1" t="str">
        <x:v>Men's merchandise</x:v>
      </x:c>
      <x:c r="C20" s="1" t="str">
        <x:v>Web</x:v>
      </x:c>
      <x:c r="D20" s="1" t="str">
        <x:v>1–3 months</x:v>
      </x:c>
      <x:c r="E20" s="1" t="n">
        <x:v>1</x:v>
      </x:c>
      <x:c r="F20" s="8" t="n">
        <x:v>1570</x:v>
      </x:c>
      <x:c r="G20" s="8" t="n">
        <x:v>20</x:v>
      </x:c>
      <x:c r="H20" s="8" t="n">
        <x:v>324</x:v>
      </x:c>
      <x:c r="I20" s="9" t="n">
        <x:v>2512.81</x:v>
      </x:c>
    </x:row>
    <x:row r="21" ht="23" customHeight="1">
      <x:c r="A21" s="1"/>
      <x:c r="B21" s="1" t="str">
        <x:v>Men's merchandise</x:v>
      </x:c>
      <x:c r="C21" s="1" t="str">
        <x:v>Web</x:v>
      </x:c>
      <x:c r="D21" s="1" t="str">
        <x:v>4–6 months</x:v>
      </x:c>
      <x:c r="E21" s="1" t="n">
        <x:v>0</x:v>
      </x:c>
      <x:c r="F21" s="8" t="n">
        <x:v>1098</x:v>
      </x:c>
      <x:c r="G21" s="8" t="n">
        <x:v>16</x:v>
      </x:c>
      <x:c r="H21" s="8" t="n">
        <x:v>252</x:v>
      </x:c>
      <x:c r="I21" s="9" t="n">
        <x:v>1150.59</x:v>
      </x:c>
    </x:row>
    <x:row r="22" ht="23" customHeight="1">
      <x:c r="A22" s="1"/>
      <x:c r="B22" s="1" t="str">
        <x:v>Men's merchandise</x:v>
      </x:c>
      <x:c r="C22" s="1" t="str">
        <x:v>Web</x:v>
      </x:c>
      <x:c r="D22" s="1" t="str">
        <x:v>4–6 months</x:v>
      </x:c>
      <x:c r="E22" s="1" t="n">
        <x:v>1</x:v>
      </x:c>
      <x:c r="F22" s="8" t="n">
        <x:v>977</x:v>
      </x:c>
      <x:c r="G22" s="8" t="n">
        <x:v>11</x:v>
      </x:c>
      <x:c r="H22" s="8" t="n">
        <x:v>153</x:v>
      </x:c>
      <x:c r="I22" s="9" t="n">
        <x:v>1375.97</x:v>
      </x:c>
    </x:row>
    <x:row r="23" ht="23" customHeight="1">
      <x:c r="A23" s="1"/>
      <x:c r="B23" s="1" t="str">
        <x:v>Men's merchandise</x:v>
      </x:c>
      <x:c r="C23" s="1" t="str">
        <x:v>Web</x:v>
      </x:c>
      <x:c r="D23" s="1" t="str">
        <x:v>7–12 months</x:v>
      </x:c>
      <x:c r="E23" s="1" t="n">
        <x:v>0</x:v>
      </x:c>
      <x:c r="F23" s="8" t="n">
        <x:v>2224</x:v>
      </x:c>
      <x:c r="G23" s="8" t="n">
        <x:v>24</x:v>
      </x:c>
      <x:c r="H23" s="8" t="n">
        <x:v>435</x:v>
      </x:c>
      <x:c r="I23" s="9" t="n">
        <x:v>2671.51</x:v>
      </x:c>
    </x:row>
    <x:row r="24" ht="23" customHeight="1">
      <x:c r="A24" s="1"/>
      <x:c r="B24" s="1" t="str">
        <x:v>Men's merchandise</x:v>
      </x:c>
      <x:c r="C24" s="1" t="str">
        <x:v>Web</x:v>
      </x:c>
      <x:c r="D24" s="1" t="str">
        <x:v>7–12 months</x:v>
      </x:c>
      <x:c r="E24" s="1" t="n">
        <x:v>1</x:v>
      </x:c>
      <x:c r="F24" s="8" t="n">
        <x:v>2057</x:v>
      </x:c>
      <x:c r="G24" s="8" t="n">
        <x:v>22</x:v>
      </x:c>
      <x:c r="H24" s="8" t="n">
        <x:v>267</x:v>
      </x:c>
      <x:c r="I24" s="9" t="n">
        <x:v>2510.19</x:v>
      </x:c>
    </x:row>
    <x:row r="25" ht="23" customHeight="1">
      <x:c r="A25" s="1"/>
      <x:c r="B25" s="1" t="str">
        <x:v>No email</x:v>
      </x:c>
      <x:c r="C25" s="1" t="str">
        <x:v>Multichannel</x:v>
      </x:c>
      <x:c r="D25" s="1" t="str">
        <x:v>1–3 months</x:v>
      </x:c>
      <x:c r="E25" s="1" t="n">
        <x:v>0</x:v>
      </x:c>
      <x:c r="F25" s="8" t="n">
        <x:v>420</x:v>
      </x:c>
      <x:c r="G25" s="8" t="n">
        <x:v>8</x:v>
      </x:c>
      <x:c r="H25" s="8" t="n">
        <x:v>74</x:v>
      </x:c>
      <x:c r="I25" s="9" t="n">
        <x:v>744.1</x:v>
      </x:c>
    </x:row>
    <x:row r="26" ht="23" customHeight="1">
      <x:c r="A26" s="1"/>
      <x:c r="B26" s="1" t="str">
        <x:v>No email</x:v>
      </x:c>
      <x:c r="C26" s="1" t="str">
        <x:v>Multichannel</x:v>
      </x:c>
      <x:c r="D26" s="1" t="str">
        <x:v>1–3 months</x:v>
      </x:c>
      <x:c r="E26" s="1" t="n">
        <x:v>1</x:v>
      </x:c>
      <x:c r="F26" s="8" t="n">
        <x:v>796</x:v>
      </x:c>
      <x:c r="G26" s="8" t="n">
        <x:v>6</x:v>
      </x:c>
      <x:c r="H26" s="8" t="n">
        <x:v>113</x:v>
      </x:c>
      <x:c r="I26" s="9" t="n">
        <x:v>339.08</x:v>
      </x:c>
    </x:row>
    <x:row r="27" ht="23" customHeight="1">
      <x:c r="A27" s="1"/>
      <x:c r="B27" s="1" t="str">
        <x:v>No email</x:v>
      </x:c>
      <x:c r="C27" s="1" t="str">
        <x:v>Multichannel</x:v>
      </x:c>
      <x:c r="D27" s="1" t="str">
        <x:v>4–6 months</x:v>
      </x:c>
      <x:c r="E27" s="1" t="n">
        <x:v>0</x:v>
      </x:c>
      <x:c r="F27" s="8" t="n">
        <x:v>227</x:v>
      </x:c>
      <x:c r="G27" s="8" t="n">
        <x:v>1</x:v>
      </x:c>
      <x:c r="H27" s="8" t="n">
        <x:v>41</x:v>
      </x:c>
      <x:c r="I27" s="9" t="n">
        <x:v>328.36</x:v>
      </x:c>
    </x:row>
    <x:row r="28" ht="23" customHeight="1">
      <x:c r="A28" s="1"/>
      <x:c r="B28" s="1" t="str">
        <x:v>No email</x:v>
      </x:c>
      <x:c r="C28" s="1" t="str">
        <x:v>Multichannel</x:v>
      </x:c>
      <x:c r="D28" s="1" t="str">
        <x:v>4–6 months</x:v>
      </x:c>
      <x:c r="E28" s="1" t="n">
        <x:v>1</x:v>
      </x:c>
      <x:c r="F28" s="8" t="n">
        <x:v>358</x:v>
      </x:c>
      <x:c r="G28" s="8" t="n">
        <x:v>2</x:v>
      </x:c>
      <x:c r="H28" s="8" t="n">
        <x:v>32</x:v>
      </x:c>
      <x:c r="I28" s="9" t="n">
        <x:v>159.06</x:v>
      </x:c>
    </x:row>
    <x:row r="29" ht="23" customHeight="1">
      <x:c r="A29" s="1"/>
      <x:c r="B29" s="1" t="str">
        <x:v>No email</x:v>
      </x:c>
      <x:c r="C29" s="1" t="str">
        <x:v>Multichannel</x:v>
      </x:c>
      <x:c r="D29" s="1" t="str">
        <x:v>7–12 months</x:v>
      </x:c>
      <x:c r="E29" s="1" t="n">
        <x:v>0</x:v>
      </x:c>
      <x:c r="F29" s="8" t="n">
        <x:v>415</x:v>
      </x:c>
      <x:c r="G29" s="8" t="n">
        <x:v>0</x:v>
      </x:c>
      <x:c r="H29" s="8" t="n">
        <x:v>47</x:v>
      </x:c>
      <x:c r="I29" s="9" t="n">
        <x:v>0</x:v>
      </x:c>
    </x:row>
    <x:row r="30" ht="23" customHeight="1">
      <x:c r="A30" s="1"/>
      <x:c r="B30" s="1" t="str">
        <x:v>No email</x:v>
      </x:c>
      <x:c r="C30" s="1" t="str">
        <x:v>Multichannel</x:v>
      </x:c>
      <x:c r="D30" s="1" t="str">
        <x:v>7–12 months</x:v>
      </x:c>
      <x:c r="E30" s="1" t="n">
        <x:v>1</x:v>
      </x:c>
      <x:c r="F30" s="8" t="n">
        <x:v>390</x:v>
      </x:c>
      <x:c r="G30" s="8" t="n">
        <x:v>1</x:v>
      </x:c>
      <x:c r="H30" s="8" t="n">
        <x:v>28</x:v>
      </x:c>
      <x:c r="I30" s="9" t="n">
        <x:v>34.02</x:v>
      </x:c>
    </x:row>
    <x:row r="31" ht="23" customHeight="1">
      <x:c r="A31" s="1"/>
      <x:c r="B31" s="1" t="str">
        <x:v>No email</x:v>
      </x:c>
      <x:c r="C31" s="1" t="str">
        <x:v>Phone</x:v>
      </x:c>
      <x:c r="D31" s="1" t="str">
        <x:v>1–3 months</x:v>
      </x:c>
      <x:c r="E31" s="1" t="n">
        <x:v>0</x:v>
      </x:c>
      <x:c r="F31" s="8" t="n">
        <x:v>1497</x:v>
      </x:c>
      <x:c r="G31" s="8" t="n">
        <x:v>15</x:v>
      </x:c>
      <x:c r="H31" s="8" t="n">
        <x:v>213</x:v>
      </x:c>
      <x:c r="I31" s="9" t="n">
        <x:v>1848.23</x:v>
      </x:c>
    </x:row>
    <x:row r="32" ht="23" customHeight="1">
      <x:c r="A32" s="1"/>
      <x:c r="B32" s="1" t="str">
        <x:v>No email</x:v>
      </x:c>
      <x:c r="C32" s="1" t="str">
        <x:v>Phone</x:v>
      </x:c>
      <x:c r="D32" s="1" t="str">
        <x:v>1–3 months</x:v>
      </x:c>
      <x:c r="E32" s="1" t="n">
        <x:v>1</x:v>
      </x:c>
      <x:c r="F32" s="8" t="n">
        <x:v>1628</x:v>
      </x:c>
      <x:c r="G32" s="8" t="n">
        <x:v>9</x:v>
      </x:c>
      <x:c r="H32" s="8" t="n">
        <x:v>150</x:v>
      </x:c>
      <x:c r="I32" s="9" t="n">
        <x:v>1314.82</x:v>
      </x:c>
    </x:row>
    <x:row r="33" ht="23" customHeight="1">
      <x:c r="A33" s="1"/>
      <x:c r="B33" s="1" t="str">
        <x:v>No email</x:v>
      </x:c>
      <x:c r="C33" s="1" t="str">
        <x:v>Phone</x:v>
      </x:c>
      <x:c r="D33" s="1" t="str">
        <x:v>4–6 months</x:v>
      </x:c>
      <x:c r="E33" s="1" t="n">
        <x:v>0</x:v>
      </x:c>
      <x:c r="F33" s="8" t="n">
        <x:v>1064</x:v>
      </x:c>
      <x:c r="G33" s="8" t="n">
        <x:v>7</x:v>
      </x:c>
      <x:c r="H33" s="8" t="n">
        <x:v>138</x:v>
      </x:c>
      <x:c r="I33" s="9" t="n">
        <x:v>476.35</x:v>
      </x:c>
    </x:row>
    <x:row r="34" ht="23" customHeight="1">
      <x:c r="A34" s="1"/>
      <x:c r="B34" s="1" t="str">
        <x:v>No email</x:v>
      </x:c>
      <x:c r="C34" s="1" t="str">
        <x:v>Phone</x:v>
      </x:c>
      <x:c r="D34" s="1" t="str">
        <x:v>4–6 months</x:v>
      </x:c>
      <x:c r="E34" s="1" t="n">
        <x:v>1</x:v>
      </x:c>
      <x:c r="F34" s="8" t="n">
        <x:v>993</x:v>
      </x:c>
      <x:c r="G34" s="8" t="n">
        <x:v>4</x:v>
      </x:c>
      <x:c r="H34" s="8" t="n">
        <x:v>53</x:v>
      </x:c>
      <x:c r="I34" s="9" t="n">
        <x:v>360.45</x:v>
      </x:c>
    </x:row>
    <x:row r="35" ht="23" customHeight="1">
      <x:c r="A35" s="1"/>
      <x:c r="B35" s="1" t="str">
        <x:v>No email</x:v>
      </x:c>
      <x:c r="C35" s="1" t="str">
        <x:v>Phone</x:v>
      </x:c>
      <x:c r="D35" s="1" t="str">
        <x:v>7–12 months</x:v>
      </x:c>
      <x:c r="E35" s="1" t="n">
        <x:v>0</x:v>
      </x:c>
      <x:c r="F35" s="8" t="n">
        <x:v>2137</x:v>
      </x:c>
      <x:c r="G35" s="8" t="n">
        <x:v>14</x:v>
      </x:c>
      <x:c r="H35" s="8" t="n">
        <x:v>199</x:v>
      </x:c>
      <x:c r="I35" s="9" t="n">
        <x:v>1980.97</x:v>
      </x:c>
    </x:row>
    <x:row r="36" ht="23" customHeight="1">
      <x:c r="A36" s="1"/>
      <x:c r="B36" s="1" t="str">
        <x:v>No email</x:v>
      </x:c>
      <x:c r="C36" s="1" t="str">
        <x:v>Phone</x:v>
      </x:c>
      <x:c r="D36" s="1" t="str">
        <x:v>7–12 months</x:v>
      </x:c>
      <x:c r="E36" s="1" t="n">
        <x:v>1</x:v>
      </x:c>
      <x:c r="F36" s="8" t="n">
        <x:v>2008</x:v>
      </x:c>
      <x:c r="G36" s="8" t="n">
        <x:v>1</x:v>
      </x:c>
      <x:c r="H36" s="8" t="n">
        <x:v>60</x:v>
      </x:c>
      <x:c r="I36" s="9" t="n">
        <x:v>29.99</x:v>
      </x:c>
    </x:row>
    <x:row r="37" ht="23" customHeight="1">
      <x:c r="A37" s="1"/>
      <x:c r="B37" s="1" t="str">
        <x:v>No email</x:v>
      </x:c>
      <x:c r="C37" s="1" t="str">
        <x:v>Web</x:v>
      </x:c>
      <x:c r="D37" s="1" t="str">
        <x:v>1–3 months</x:v>
      </x:c>
      <x:c r="E37" s="1" t="n">
        <x:v>0</x:v>
      </x:c>
      <x:c r="F37" s="8" t="n">
        <x:v>1516</x:v>
      </x:c>
      <x:c r="G37" s="8" t="n">
        <x:v>21</x:v>
      </x:c>
      <x:c r="H37" s="8" t="n">
        <x:v>282</x:v>
      </x:c>
      <x:c r="I37" s="9" t="n">
        <x:v>2068.25</x:v>
      </x:c>
    </x:row>
    <x:row r="38" ht="23" customHeight="1">
      <x:c r="A38" s="1"/>
      <x:c r="B38" s="1" t="str">
        <x:v>No email</x:v>
      </x:c>
      <x:c r="C38" s="1" t="str">
        <x:v>Web</x:v>
      </x:c>
      <x:c r="D38" s="1" t="str">
        <x:v>1–3 months</x:v>
      </x:c>
      <x:c r="E38" s="1" t="n">
        <x:v>1</x:v>
      </x:c>
      <x:c r="F38" s="8" t="n">
        <x:v>1581</x:v>
      </x:c>
      <x:c r="G38" s="8" t="n">
        <x:v>8</x:v>
      </x:c>
      <x:c r="H38" s="8" t="n">
        <x:v>193</x:v>
      </x:c>
      <x:c r="I38" s="9" t="n">
        <x:v>703.65</x:v>
      </x:c>
    </x:row>
    <x:row r="39" ht="23" customHeight="1">
      <x:c r="A39" s="1"/>
      <x:c r="B39" s="1" t="str">
        <x:v>No email</x:v>
      </x:c>
      <x:c r="C39" s="1" t="str">
        <x:v>Web</x:v>
      </x:c>
      <x:c r="D39" s="1" t="str">
        <x:v>4–6 months</x:v>
      </x:c>
      <x:c r="E39" s="1" t="n">
        <x:v>0</x:v>
      </x:c>
      <x:c r="F39" s="8" t="n">
        <x:v>1096</x:v>
      </x:c>
      <x:c r="G39" s="8" t="n">
        <x:v>6</x:v>
      </x:c>
      <x:c r="H39" s="8" t="n">
        <x:v>151</x:v>
      </x:c>
      <x:c r="I39" s="9" t="n">
        <x:v>769.23</x:v>
      </x:c>
    </x:row>
    <x:row r="40" ht="23" customHeight="1">
      <x:c r="A40" s="1"/>
      <x:c r="B40" s="1" t="str">
        <x:v>No email</x:v>
      </x:c>
      <x:c r="C40" s="1" t="str">
        <x:v>Web</x:v>
      </x:c>
      <x:c r="D40" s="1" t="str">
        <x:v>4–6 months</x:v>
      </x:c>
      <x:c r="E40" s="1" t="n">
        <x:v>1</x:v>
      </x:c>
      <x:c r="F40" s="8" t="n">
        <x:v>1028</x:v>
      </x:c>
      <x:c r="G40" s="8" t="n">
        <x:v>6</x:v>
      </x:c>
      <x:c r="H40" s="8" t="n">
        <x:v>89</x:v>
      </x:c>
      <x:c r="I40" s="9" t="n">
        <x:v>381</x:v>
      </x:c>
    </x:row>
    <x:row r="41" ht="23" customHeight="1">
      <x:c r="A41" s="1"/>
      <x:c r="B41" s="1" t="str">
        <x:v>No email</x:v>
      </x:c>
      <x:c r="C41" s="1" t="str">
        <x:v>Web</x:v>
      </x:c>
      <x:c r="D41" s="1" t="str">
        <x:v>7–12 months</x:v>
      </x:c>
      <x:c r="E41" s="1" t="n">
        <x:v>0</x:v>
      </x:c>
      <x:c r="F41" s="8" t="n">
        <x:v>2239</x:v>
      </x:c>
      <x:c r="G41" s="8" t="n">
        <x:v>10</x:v>
      </x:c>
      <x:c r="H41" s="8" t="n">
        <x:v>274</x:v>
      </x:c>
      <x:c r="I41" s="9" t="n">
        <x:v>1709.51</x:v>
      </x:c>
    </x:row>
    <x:row r="42" ht="23" customHeight="1">
      <x:c r="A42" s="1"/>
      <x:c r="B42" s="1" t="str">
        <x:v>No email</x:v>
      </x:c>
      <x:c r="C42" s="1" t="str">
        <x:v>Web</x:v>
      </x:c>
      <x:c r="D42" s="1" t="str">
        <x:v>7–12 months</x:v>
      </x:c>
      <x:c r="E42" s="1" t="n">
        <x:v>1</x:v>
      </x:c>
      <x:c r="F42" s="8" t="n">
        <x:v>1913</x:v>
      </x:c>
      <x:c r="G42" s="8" t="n">
        <x:v>3</x:v>
      </x:c>
      <x:c r="H42" s="8" t="n">
        <x:v>125</x:v>
      </x:c>
      <x:c r="I42" s="9" t="n">
        <x:v>661.26</x:v>
      </x:c>
    </x:row>
    <x:row r="43" ht="23" customHeight="1">
      <x:c r="A43" s="1"/>
      <x:c r="B43" s="1" t="str">
        <x:v>Women's merchandise</x:v>
      </x:c>
      <x:c r="C43" s="1" t="str">
        <x:v>Multichannel</x:v>
      </x:c>
      <x:c r="D43" s="1" t="str">
        <x:v>1–3 months</x:v>
      </x:c>
      <x:c r="E43" s="1" t="n">
        <x:v>0</x:v>
      </x:c>
      <x:c r="F43" s="8" t="n">
        <x:v>410</x:v>
      </x:c>
      <x:c r="G43" s="8" t="n">
        <x:v>7</x:v>
      </x:c>
      <x:c r="H43" s="8" t="n">
        <x:v>82</x:v>
      </x:c>
      <x:c r="I43" s="9" t="n">
        <x:v>822.59</x:v>
      </x:c>
    </x:row>
    <x:row r="44" ht="23" customHeight="1">
      <x:c r="A44" s="1"/>
      <x:c r="B44" s="1" t="str">
        <x:v>Women's merchandise</x:v>
      </x:c>
      <x:c r="C44" s="1" t="str">
        <x:v>Multichannel</x:v>
      </x:c>
      <x:c r="D44" s="1" t="str">
        <x:v>1–3 months</x:v>
      </x:c>
      <x:c r="E44" s="1" t="n">
        <x:v>1</x:v>
      </x:c>
      <x:c r="F44" s="8" t="n">
        <x:v>814</x:v>
      </x:c>
      <x:c r="G44" s="8" t="n">
        <x:v>15</x:v>
      </x:c>
      <x:c r="H44" s="8" t="n">
        <x:v>166</x:v>
      </x:c>
      <x:c r="I44" s="9" t="n">
        <x:v>1850.36</x:v>
      </x:c>
    </x:row>
    <x:row r="45" ht="23" customHeight="1">
      <x:c r="A45" s="1"/>
      <x:c r="B45" s="1" t="str">
        <x:v>Women's merchandise</x:v>
      </x:c>
      <x:c r="C45" s="1" t="str">
        <x:v>Multichannel</x:v>
      </x:c>
      <x:c r="D45" s="1" t="str">
        <x:v>4–6 months</x:v>
      </x:c>
      <x:c r="E45" s="1" t="n">
        <x:v>0</x:v>
      </x:c>
      <x:c r="F45" s="8" t="n">
        <x:v>237</x:v>
      </x:c>
      <x:c r="G45" s="8" t="n">
        <x:v>1</x:v>
      </x:c>
      <x:c r="H45" s="8" t="n">
        <x:v>37</x:v>
      </x:c>
      <x:c r="I45" s="9" t="n">
        <x:v>29.99</x:v>
      </x:c>
    </x:row>
    <x:row r="46" ht="23" customHeight="1">
      <x:c r="A46" s="1"/>
      <x:c r="B46" s="1" t="str">
        <x:v>Women's merchandise</x:v>
      </x:c>
      <x:c r="C46" s="1" t="str">
        <x:v>Multichannel</x:v>
      </x:c>
      <x:c r="D46" s="1" t="str">
        <x:v>4–6 months</x:v>
      </x:c>
      <x:c r="E46" s="1" t="n">
        <x:v>1</x:v>
      </x:c>
      <x:c r="F46" s="8" t="n">
        <x:v>343</x:v>
      </x:c>
      <x:c r="G46" s="8" t="n">
        <x:v>4</x:v>
      </x:c>
      <x:c r="H46" s="8" t="n">
        <x:v>51</x:v>
      </x:c>
      <x:c r="I46" s="9" t="n">
        <x:v>678.26</x:v>
      </x:c>
    </x:row>
    <x:row r="47" ht="23" customHeight="1">
      <x:c r="A47" s="1"/>
      <x:c r="B47" s="1" t="str">
        <x:v>Women's merchandise</x:v>
      </x:c>
      <x:c r="C47" s="1" t="str">
        <x:v>Multichannel</x:v>
      </x:c>
      <x:c r="D47" s="1" t="str">
        <x:v>7–12 months</x:v>
      </x:c>
      <x:c r="E47" s="1" t="n">
        <x:v>0</x:v>
      </x:c>
      <x:c r="F47" s="8" t="n">
        <x:v>371</x:v>
      </x:c>
      <x:c r="G47" s="8" t="n">
        <x:v>6</x:v>
      </x:c>
      <x:c r="H47" s="8" t="n">
        <x:v>69</x:v>
      </x:c>
      <x:c r="I47" s="9" t="n">
        <x:v>965.45</x:v>
      </x:c>
    </x:row>
    <x:row r="48" ht="23" customHeight="1">
      <x:c r="A48" s="1"/>
      <x:c r="B48" s="1" t="str">
        <x:v>Women's merchandise</x:v>
      </x:c>
      <x:c r="C48" s="1" t="str">
        <x:v>Multichannel</x:v>
      </x:c>
      <x:c r="D48" s="1" t="str">
        <x:v>7–12 months</x:v>
      </x:c>
      <x:c r="E48" s="1" t="n">
        <x:v>1</x:v>
      </x:c>
      <x:c r="F48" s="8" t="n">
        <x:v>404</x:v>
      </x:c>
      <x:c r="G48" s="8" t="n">
        <x:v>3</x:v>
      </x:c>
      <x:c r="H48" s="8" t="n">
        <x:v>48</x:v>
      </x:c>
      <x:c r="I48" s="9" t="n">
        <x:v>226.63</x:v>
      </x:c>
    </x:row>
    <x:row r="49" ht="23" customHeight="1">
      <x:c r="A49" s="1"/>
      <x:c r="B49" s="1" t="str">
        <x:v>Women's merchandise</x:v>
      </x:c>
      <x:c r="C49" s="1" t="str">
        <x:v>Phone</x:v>
      </x:c>
      <x:c r="D49" s="1" t="str">
        <x:v>1–3 months</x:v>
      </x:c>
      <x:c r="E49" s="1" t="n">
        <x:v>0</x:v>
      </x:c>
      <x:c r="F49" s="8" t="n">
        <x:v>1528</x:v>
      </x:c>
      <x:c r="G49" s="8" t="n">
        <x:v>13</x:v>
      </x:c>
      <x:c r="H49" s="8" t="n">
        <x:v>270</x:v>
      </x:c>
      <x:c r="I49" s="9" t="n">
        <x:v>1734.09</x:v>
      </x:c>
    </x:row>
    <x:row r="50" ht="23" customHeight="1">
      <x:c r="A50" s="1"/>
      <x:c r="B50" s="1" t="str">
        <x:v>Women's merchandise</x:v>
      </x:c>
      <x:c r="C50" s="1" t="str">
        <x:v>Phone</x:v>
      </x:c>
      <x:c r="D50" s="1" t="str">
        <x:v>1–3 months</x:v>
      </x:c>
      <x:c r="E50" s="1" t="n">
        <x:v>1</x:v>
      </x:c>
      <x:c r="F50" s="8" t="n">
        <x:v>1621</x:v>
      </x:c>
      <x:c r="G50" s="8" t="n">
        <x:v>19</x:v>
      </x:c>
      <x:c r="H50" s="8" t="n">
        <x:v>230</x:v>
      </x:c>
      <x:c r="I50" s="9" t="n">
        <x:v>2042.52</x:v>
      </x:c>
    </x:row>
    <x:row r="51" ht="23" customHeight="1">
      <x:c r="A51" s="1"/>
      <x:c r="B51" s="1" t="str">
        <x:v>Women's merchandise</x:v>
      </x:c>
      <x:c r="C51" s="1" t="str">
        <x:v>Phone</x:v>
      </x:c>
      <x:c r="D51" s="1" t="str">
        <x:v>4–6 months</x:v>
      </x:c>
      <x:c r="E51" s="1" t="n">
        <x:v>0</x:v>
      </x:c>
      <x:c r="F51" s="8" t="n">
        <x:v>1100</x:v>
      </x:c>
      <x:c r="G51" s="8" t="n">
        <x:v>9</x:v>
      </x:c>
      <x:c r="H51" s="8" t="n">
        <x:v>179</x:v>
      </x:c>
      <x:c r="I51" s="9" t="n">
        <x:v>1324.16</x:v>
      </x:c>
    </x:row>
    <x:row r="52" ht="23" customHeight="1">
      <x:c r="A52" s="1"/>
      <x:c r="B52" s="1" t="str">
        <x:v>Women's merchandise</x:v>
      </x:c>
      <x:c r="C52" s="1" t="str">
        <x:v>Phone</x:v>
      </x:c>
      <x:c r="D52" s="1" t="str">
        <x:v>4–6 months</x:v>
      </x:c>
      <x:c r="E52" s="1" t="n">
        <x:v>1</x:v>
      </x:c>
      <x:c r="F52" s="8" t="n">
        <x:v>965</x:v>
      </x:c>
      <x:c r="G52" s="8" t="n">
        <x:v>3</x:v>
      </x:c>
      <x:c r="H52" s="8" t="n">
        <x:v>94</x:v>
      </x:c>
      <x:c r="I52" s="9" t="n">
        <x:v>365.49</x:v>
      </x:c>
    </x:row>
    <x:row r="53" ht="23" customHeight="1">
      <x:c r="A53" s="1"/>
      <x:c r="B53" s="1" t="str">
        <x:v>Women's merchandise</x:v>
      </x:c>
      <x:c r="C53" s="1" t="str">
        <x:v>Phone</x:v>
      </x:c>
      <x:c r="D53" s="1" t="str">
        <x:v>7–12 months</x:v>
      </x:c>
      <x:c r="E53" s="1" t="n">
        <x:v>0</x:v>
      </x:c>
      <x:c r="F53" s="8" t="n">
        <x:v>2195</x:v>
      </x:c>
      <x:c r="G53" s="8" t="n">
        <x:v>12</x:v>
      </x:c>
      <x:c r="H53" s="8" t="n">
        <x:v>301</x:v>
      </x:c>
      <x:c r="I53" s="9" t="n">
        <x:v>1268.82</x:v>
      </x:c>
    </x:row>
    <x:row r="54" ht="23" customHeight="1">
      <x:c r="A54" s="1"/>
      <x:c r="B54" s="1" t="str">
        <x:v>Women's merchandise</x:v>
      </x:c>
      <x:c r="C54" s="1" t="str">
        <x:v>Phone</x:v>
      </x:c>
      <x:c r="D54" s="1" t="str">
        <x:v>7–12 months</x:v>
      </x:c>
      <x:c r="E54" s="1" t="n">
        <x:v>1</x:v>
      </x:c>
      <x:c r="F54" s="8" t="n">
        <x:v>2045</x:v>
      </x:c>
      <x:c r="G54" s="8" t="n">
        <x:v>11</x:v>
      </x:c>
      <x:c r="H54" s="8" t="n">
        <x:v>172</x:v>
      </x:c>
      <x:c r="I54" s="9" t="n">
        <x:v>1555.38</x:v>
      </x:c>
    </x:row>
    <x:row r="55" ht="23" customHeight="1">
      <x:c r="A55" s="1"/>
      <x:c r="B55" s="1" t="str">
        <x:v>Women's merchandise</x:v>
      </x:c>
      <x:c r="C55" s="1" t="str">
        <x:v>Web</x:v>
      </x:c>
      <x:c r="D55" s="1" t="str">
        <x:v>1–3 months</x:v>
      </x:c>
      <x:c r="E55" s="1" t="n">
        <x:v>0</x:v>
      </x:c>
      <x:c r="F55" s="8" t="n">
        <x:v>1518</x:v>
      </x:c>
      <x:c r="G55" s="8" t="n">
        <x:v>15</x:v>
      </x:c>
      <x:c r="H55" s="8" t="n">
        <x:v>344</x:v>
      </x:c>
      <x:c r="I55" s="9" t="n">
        <x:v>1027.62</x:v>
      </x:c>
    </x:row>
    <x:row r="56" ht="23" customHeight="1">
      <x:c r="A56" s="1"/>
      <x:c r="B56" s="1" t="str">
        <x:v>Women's merchandise</x:v>
      </x:c>
      <x:c r="C56" s="1" t="str">
        <x:v>Web</x:v>
      </x:c>
      <x:c r="D56" s="1" t="str">
        <x:v>1–3 months</x:v>
      </x:c>
      <x:c r="E56" s="1" t="n">
        <x:v>1</x:v>
      </x:c>
      <x:c r="F56" s="8" t="n">
        <x:v>1595</x:v>
      </x:c>
      <x:c r="G56" s="8" t="n">
        <x:v>19</x:v>
      </x:c>
      <x:c r="H56" s="8" t="n">
        <x:v>269</x:v>
      </x:c>
      <x:c r="I56" s="9" t="n">
        <x:v>2270.72</x:v>
      </x:c>
    </x:row>
    <x:row r="57" ht="23" customHeight="1">
      <x:c r="A57" s="1"/>
      <x:c r="B57" s="1" t="str">
        <x:v>Women's merchandise</x:v>
      </x:c>
      <x:c r="C57" s="1" t="str">
        <x:v>Web</x:v>
      </x:c>
      <x:c r="D57" s="1" t="str">
        <x:v>4–6 months</x:v>
      </x:c>
      <x:c r="E57" s="1" t="n">
        <x:v>0</x:v>
      </x:c>
      <x:c r="F57" s="8" t="n">
        <x:v>1057</x:v>
      </x:c>
      <x:c r="G57" s="8" t="n">
        <x:v>11</x:v>
      </x:c>
      <x:c r="H57" s="8" t="n">
        <x:v>180</x:v>
      </x:c>
      <x:c r="I57" s="9" t="n">
        <x:v>2209.78</x:v>
      </x:c>
    </x:row>
    <x:row r="58" ht="23" customHeight="1">
      <x:c r="A58" s="1"/>
      <x:c r="B58" s="1" t="str">
        <x:v>Women's merchandise</x:v>
      </x:c>
      <x:c r="C58" s="1" t="str">
        <x:v>Web</x:v>
      </x:c>
      <x:c r="D58" s="1" t="str">
        <x:v>4–6 months</x:v>
      </x:c>
      <x:c r="E58" s="1" t="n">
        <x:v>1</x:v>
      </x:c>
      <x:c r="F58" s="8" t="n">
        <x:v>1051</x:v>
      </x:c>
      <x:c r="G58" s="8" t="n">
        <x:v>10</x:v>
      </x:c>
      <x:c r="H58" s="8" t="n">
        <x:v>154</x:v>
      </x:c>
      <x:c r="I58" s="9" t="n">
        <x:v>1023.06</x:v>
      </x:c>
    </x:row>
    <x:row r="59" ht="23" customHeight="1">
      <x:c r="A59" s="1"/>
      <x:c r="B59" s="1" t="str">
        <x:v>Women's merchandise</x:v>
      </x:c>
      <x:c r="C59" s="1" t="str">
        <x:v>Web</x:v>
      </x:c>
      <x:c r="D59" s="1" t="str">
        <x:v>7–12 months</x:v>
      </x:c>
      <x:c r="E59" s="1" t="n">
        <x:v>0</x:v>
      </x:c>
      <x:c r="F59" s="8" t="n">
        <x:v>2208</x:v>
      </x:c>
      <x:c r="G59" s="8" t="n">
        <x:v>18</x:v>
      </x:c>
      <x:c r="H59" s="8" t="n">
        <x:v>385</x:v>
      </x:c>
      <x:c r="I59" s="9" t="n">
        <x:v>1765.34</x:v>
      </x:c>
    </x:row>
    <x:row r="60" ht="23" customHeight="1">
      <x:c r="A60" s="1"/>
      <x:c r="B60" s="1" t="str">
        <x:v>Women's merchandise</x:v>
      </x:c>
      <x:c r="C60" s="1" t="str">
        <x:v>Web</x:v>
      </x:c>
      <x:c r="D60" s="1" t="str">
        <x:v>7–12 months</x:v>
      </x:c>
      <x:c r="E60" s="1" t="n">
        <x:v>1</x:v>
      </x:c>
      <x:c r="F60" s="8" t="n">
        <x:v>1925</x:v>
      </x:c>
      <x:c r="G60" s="8" t="n">
        <x:v>13</x:v>
      </x:c>
      <x:c r="H60" s="8" t="n">
        <x:v>207</x:v>
      </x:c>
      <x:c r="I60" s="9" t="n">
        <x:v>1877.85</x:v>
      </x:c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</x:row>
    <x:row r="63" ht="23" customHeight="1">
      <x:c r="A63" s="1"/>
      <x:c r="B63" s="4" t="str">
        <x:v>Source: Kevin Hillstrom, MineThatData, March 2008 email challenge. The raw extract has no customer ID; repeated profiles were retained. SQL: sql/04_excel_cube.sql. Each person appears once across these cells.</x:v>
      </x:c>
      <x:c r="C63" s="4"/>
      <x:c r="D63" s="4"/>
      <x:c r="E63" s="4"/>
      <x:c r="F63" s="4"/>
      <x:c r="G63" s="4"/>
      <x:c r="H63" s="4"/>
      <x:c r="I63" s="4"/>
    </x:row>
    <x:row r="64" ht="23" customHeight="1">
      <x:c r="A64" s="1"/>
      <x:c r="B64" s="4"/>
      <x:c r="C64" s="4"/>
      <x:c r="D64" s="4"/>
      <x:c r="E64" s="4"/>
      <x:c r="F64" s="4"/>
      <x:c r="G64" s="4"/>
      <x:c r="H64" s="4"/>
      <x:c r="I64" s="4"/>
    </x:row>
    <x:row r="65" ht="23" customHeight="1">
      <x:c r="A65" s="1"/>
      <x:c r="B65" s="4"/>
      <x:c r="C65" s="4"/>
      <x:c r="D65" s="4"/>
      <x:c r="E65" s="4"/>
      <x:c r="F65" s="4"/>
      <x:c r="G65" s="4"/>
      <x:c r="H65" s="4"/>
      <x:c r="I65" s="4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</x:row>
  </x:sheetData>
  <x:mergeCells>
    <x:mergeCell ref="B2:I2"/>
    <x:mergeCell ref="B3:I4"/>
    <x:mergeCell ref="B63:I65"/>
  </x:mergeCells>
  <x:pageMargins left="0.7" right="0.7" top="0.75" bottom="0.75" header="0.3" footer="0.3"/>
  <x:tableParts count="1">
    <x:tablePart xmlns:r="http://schemas.openxmlformats.org/officeDocument/2006/relationships" r:id="R42cf8b69f09e4b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37" customHeight="1">
      <x:c r="A2" s="1"/>
      <x:c r="B2" s="2" t="str">
        <x:v>Start here</x:v>
      </x:c>
      <x:c r="C2" s="1"/>
      <x:c r="D2" s="1"/>
      <x:c r="E2" s="1"/>
      <x:c r="F2" s="1"/>
      <x:c r="G2" s="1"/>
      <x:c r="H2" s="1"/>
    </x:row>
    <x:row r="3" ht="23" customHeight="1">
      <x:c r="A3" s="1"/>
      <x:c r="B3" s="4" t="str">
        <x:v>A practical guide to the model, evidence and limitations. All monetary amounts are US dollars.</x:v>
      </x:c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23" customHeight="1">
      <x:c r="A6" s="1"/>
      <x:c r="B6" s="23" t="str">
        <x:v>1. Read the evidence</x:v>
      </x:c>
      <x:c r="C6" s="1"/>
      <x:c r="D6" s="1"/>
      <x:c r="E6" s="1"/>
      <x:c r="F6" s="1"/>
      <x:c r="G6" s="1"/>
      <x:c r="H6" s="1"/>
    </x:row>
    <x:row r="7" ht="23" customHeight="1">
      <x:c r="A7" s="1"/>
      <x:c r="B7" s="4" t="str">
        <x:v>Campaigns shows the three randomized groups. The no-email group tells us what customers would have done without an assigned email.</x:v>
      </x:c>
      <x:c r="C7" s="4"/>
      <x:c r="D7" s="4"/>
      <x:c r="E7" s="4"/>
      <x:c r="F7" s="4"/>
      <x:c r="G7" s="4"/>
      <x:c r="H7" s="4"/>
    </x:row>
    <x:row r="8" ht="23" customHeight="1">
      <x:c r="A8" s="1"/>
      <x:c r="B8" s="4"/>
      <x:c r="C8" s="4"/>
      <x:c r="D8" s="4"/>
      <x:c r="E8" s="4"/>
      <x:c r="F8" s="4"/>
      <x:c r="G8" s="4"/>
      <x:c r="H8" s="4"/>
    </x:row>
    <x:row r="9" ht="23" customHeight="1">
      <x:c r="A9" s="1"/>
      <x:c r="B9" s="4"/>
      <x:c r="C9" s="4"/>
      <x:c r="D9" s="4"/>
      <x:c r="E9" s="4"/>
      <x:c r="F9" s="4"/>
      <x:c r="G9" s="4"/>
      <x:c r="H9" s="4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</x:row>
    <x:row r="11" ht="23" customHeight="1">
      <x:c r="A11" s="1"/>
      <x:c r="B11" s="23" t="str">
        <x:v>2. Change the assumptions</x:v>
      </x:c>
      <x:c r="C11" s="1"/>
      <x:c r="D11" s="1"/>
      <x:c r="E11" s="1"/>
      <x:c r="F11" s="1"/>
      <x:c r="G11" s="1"/>
      <x:c r="H11" s="1"/>
    </x:row>
    <x:row r="12" ht="23" customHeight="1">
      <x:c r="A12" s="1"/>
      <x:c r="B12" s="4" t="str">
        <x:v>Budget uses yellow input cells. Select an email, audience size, contribution margin, email cost and fixed cost. Formula cells update automatically.</x:v>
      </x:c>
      <x:c r="C12" s="4"/>
      <x:c r="D12" s="4"/>
      <x:c r="E12" s="4"/>
      <x:c r="F12" s="4"/>
      <x:c r="G12" s="4"/>
      <x:c r="H12" s="4"/>
    </x:row>
    <x:row r="13" ht="23" customHeight="1">
      <x:c r="A13" s="1"/>
      <x:c r="B13" s="4"/>
      <x:c r="C13" s="4"/>
      <x:c r="D13" s="4"/>
      <x:c r="E13" s="4"/>
      <x:c r="F13" s="4"/>
      <x:c r="G13" s="4"/>
      <x:c r="H13" s="4"/>
    </x:row>
    <x:row r="14" ht="23" customHeight="1">
      <x:c r="A14" s="1"/>
      <x:c r="B14" s="4"/>
      <x:c r="C14" s="4"/>
      <x:c r="D14" s="4"/>
      <x:c r="E14" s="4"/>
      <x:c r="F14" s="4"/>
      <x:c r="G14" s="4"/>
      <x:c r="H14" s="4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</x:row>
    <x:row r="16" ht="23" customHeight="1">
      <x:c r="A16" s="1"/>
      <x:c r="B16" s="23" t="str">
        <x:v>3. Explore carefully</x:v>
      </x:c>
      <x:c r="C16" s="1"/>
      <x:c r="D16" s="1"/>
      <x:c r="E16" s="1"/>
      <x:c r="F16" s="1"/>
      <x:c r="G16" s="1"/>
      <x:c r="H16" s="1"/>
    </x:row>
    <x:row r="17" ht="23" customHeight="1">
      <x:c r="A17" s="1"/>
      <x:c r="B17" s="4" t="str">
        <x:v>Segments uses SUMIFS on the disjoint source cube. It supports exploratory cuts by prior channel and recency. Small cells have unstable rates.</x:v>
      </x:c>
      <x:c r="C17" s="4"/>
      <x:c r="D17" s="4"/>
      <x:c r="E17" s="4"/>
      <x:c r="F17" s="4"/>
      <x:c r="G17" s="4"/>
      <x:c r="H17" s="4"/>
    </x:row>
    <x:row r="18" ht="23" customHeight="1">
      <x:c r="A18" s="1"/>
      <x:c r="B18" s="4"/>
      <x:c r="C18" s="4"/>
      <x:c r="D18" s="4"/>
      <x:c r="E18" s="4"/>
      <x:c r="F18" s="4"/>
      <x:c r="G18" s="4"/>
      <x:c r="H18" s="4"/>
    </x:row>
    <x:row r="19" ht="23" customHeight="1">
      <x:c r="A19" s="1"/>
      <x:c r="B19" s="4"/>
      <x:c r="C19" s="4"/>
      <x:c r="D19" s="4"/>
      <x:c r="E19" s="4"/>
      <x:c r="F19" s="4"/>
      <x:c r="G19" s="4"/>
      <x:c r="H19" s="4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</x:row>
    <x:row r="21" ht="23" customHeight="1">
      <x:c r="A21" s="1"/>
      <x:c r="B21" s="23" t="str">
        <x:v>4. Interpret the results</x:v>
      </x:c>
      <x:c r="C21" s="1"/>
      <x:c r="D21" s="1"/>
      <x:c r="E21" s="1"/>
      <x:c r="F21" s="1"/>
      <x:c r="G21" s="1"/>
      <x:c r="H21" s="1"/>
    </x:row>
    <x:row r="22" ht="23" customHeight="1">
      <x:c r="A22" s="1"/>
      <x:c r="B22" s="4" t="str">
        <x:v>The men’s email increased purchase conversion by 0.68 percentage points versus no email in this historical experiment. That is about 6.8 extra purchases per 1,000 customers.</x:v>
      </x:c>
      <x:c r="C22" s="4"/>
      <x:c r="D22" s="4"/>
      <x:c r="E22" s="4"/>
      <x:c r="F22" s="4"/>
      <x:c r="G22" s="4"/>
      <x:c r="H22" s="4"/>
    </x:row>
    <x:row r="23" ht="23" customHeight="1">
      <x:c r="A23" s="1"/>
      <x:c r="B23" s="4"/>
      <x:c r="C23" s="4"/>
      <x:c r="D23" s="4"/>
      <x:c r="E23" s="4"/>
      <x:c r="F23" s="4"/>
      <x:c r="G23" s="4"/>
      <x:c r="H23" s="4"/>
    </x:row>
    <x:row r="24" ht="23" customHeight="1">
      <x:c r="A24" s="1"/>
      <x:c r="B24" s="4"/>
      <x:c r="C24" s="4"/>
      <x:c r="D24" s="4"/>
      <x:c r="E24" s="4"/>
      <x:c r="F24" s="4"/>
      <x:c r="G24" s="4"/>
      <x:c r="H24" s="4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  <x:row r="26" ht="23" customHeight="1">
      <x:c r="A26" s="1"/>
      <x:c r="B26" s="23" t="str">
        <x:v>5. Understand uncertainty</x:v>
      </x:c>
      <x:c r="C26" s="1"/>
      <x:c r="D26" s="1"/>
      <x:c r="E26" s="1"/>
      <x:c r="F26" s="1"/>
      <x:c r="G26" s="1"/>
      <x:c r="H26" s="1"/>
    </x:row>
    <x:row r="27" ht="23" customHeight="1">
      <x:c r="A27" s="1"/>
      <x:c r="B27" s="4" t="str">
        <x:v>Conversion tests use Fisher exact and Holm correction. Revenue intervals use 5,000 bootstrap resamples. Costs and margin were not supplied and are assumptions.</x:v>
      </x:c>
      <x:c r="C27" s="4"/>
      <x:c r="D27" s="4"/>
      <x:c r="E27" s="4"/>
      <x:c r="F27" s="4"/>
      <x:c r="G27" s="4"/>
      <x:c r="H27" s="4"/>
    </x:row>
    <x:row r="28" ht="23" customHeight="1">
      <x:c r="A28" s="1"/>
      <x:c r="B28" s="4"/>
      <x:c r="C28" s="4"/>
      <x:c r="D28" s="4"/>
      <x:c r="E28" s="4"/>
      <x:c r="F28" s="4"/>
      <x:c r="G28" s="4"/>
      <x:c r="H28" s="4"/>
    </x:row>
    <x:row r="29" ht="23" customHeight="1">
      <x:c r="A29" s="1"/>
      <x:c r="B29" s="4"/>
      <x:c r="C29" s="4"/>
      <x:c r="D29" s="4"/>
      <x:c r="E29" s="4"/>
      <x:c r="F29" s="4"/>
      <x:c r="G29" s="4"/>
      <x:c r="H29" s="4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23" t="str">
        <x:v>6. Plan a current test</x:v>
      </x:c>
      <x:c r="C31" s="1"/>
      <x:c r="D31" s="1"/>
      <x:c r="E31" s="1"/>
      <x:c r="F31" s="1"/>
      <x:c r="G31" s="1"/>
      <x:c r="H31" s="1"/>
    </x:row>
    <x:row r="32" ht="23" customHeight="1">
      <x:c r="A32" s="1"/>
      <x:c r="B32" s="4" t="str">
        <x:v>Use the project’s sample-size plan and protocol. Re-estimate today’s baseline, define a worthwhile effect, randomize, and wait for complete follow-up.</x:v>
      </x:c>
      <x:c r="C32" s="4"/>
      <x:c r="D32" s="4"/>
      <x:c r="E32" s="4"/>
      <x:c r="F32" s="4"/>
      <x:c r="G32" s="4"/>
      <x:c r="H32" s="4"/>
    </x:row>
    <x:row r="33" ht="23" customHeight="1">
      <x:c r="A33" s="1"/>
      <x:c r="B33" s="4"/>
      <x:c r="C33" s="4"/>
      <x:c r="D33" s="4"/>
      <x:c r="E33" s="4"/>
      <x:c r="F33" s="4"/>
      <x:c r="G33" s="4"/>
      <x:c r="H33" s="4"/>
    </x:row>
    <x:row r="34" ht="23" customHeight="1">
      <x:c r="A34" s="1"/>
      <x:c r="B34" s="4"/>
      <x:c r="C34" s="4"/>
      <x:c r="D34" s="4"/>
      <x:c r="E34" s="4"/>
      <x:c r="F34" s="4"/>
      <x:c r="G34" s="4"/>
      <x:c r="H34" s="4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23" t="str">
        <x:v>Source and provenance</x:v>
      </x:c>
      <x:c r="C36" s="1"/>
      <x:c r="D36" s="1"/>
      <x:c r="E36" s="1"/>
      <x:c r="F36" s="1"/>
      <x:c r="G36" s="1"/>
      <x:c r="H36" s="1"/>
    </x:row>
    <x:row r="37" ht="23" customHeight="1">
      <x:c r="A37" s="1"/>
      <x:c r="B37" s="4" t="str">
        <x:v>Kevin Hillstrom / MineThatData, March 2008 email challenge: https://blog.minethatdata.com/2008/03/ . Dataset: 64,000 past customers; two-week outcomes.</x:v>
      </x:c>
      <x:c r="C37" s="4"/>
      <x:c r="D37" s="4"/>
      <x:c r="E37" s="4"/>
      <x:c r="F37" s="4"/>
      <x:c r="G37" s="4"/>
      <x:c r="H37" s="4"/>
    </x:row>
    <x:row r="38" ht="23" customHeight="1">
      <x:c r="A38" s="1"/>
      <x:c r="B38" s="4"/>
      <x:c r="C38" s="4"/>
      <x:c r="D38" s="4"/>
      <x:c r="E38" s="4"/>
      <x:c r="F38" s="4"/>
      <x:c r="G38" s="4"/>
      <x:c r="H38" s="4"/>
    </x:row>
    <x:row r="39" ht="23" customHeight="1">
      <x:c r="A39" s="1"/>
      <x:c r="B39" s="4"/>
      <x:c r="C39" s="4"/>
      <x:c r="D39" s="4"/>
      <x:c r="E39" s="4"/>
      <x:c r="F39" s="4"/>
      <x:c r="G39" s="4"/>
      <x:c r="H39" s="4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23" t="str">
        <x:v>What this project does not prove</x:v>
      </x:c>
      <x:c r="C41" s="1"/>
      <x:c r="D41" s="1"/>
      <x:c r="E41" s="1"/>
      <x:c r="F41" s="1"/>
      <x:c r="G41" s="1"/>
      <x:c r="H41" s="1"/>
    </x:row>
    <x:row r="42" ht="23" customHeight="1">
      <x:c r="A42" s="1"/>
      <x:c r="B42" s="4" t="str">
        <x:v>No current business profit was observed. No email delivery, opens, unsubscribes, campaign costs or actual customer IDs were supplied. Creative labels do not identify recipient gender.</x:v>
      </x:c>
      <x:c r="C42" s="4"/>
      <x:c r="D42" s="4"/>
      <x:c r="E42" s="4"/>
      <x:c r="F42" s="4"/>
      <x:c r="G42" s="4"/>
      <x:c r="H42" s="4"/>
    </x:row>
    <x:row r="43" ht="23" customHeight="1">
      <x:c r="A43" s="1"/>
      <x:c r="B43" s="4"/>
      <x:c r="C43" s="4"/>
      <x:c r="D43" s="4"/>
      <x:c r="E43" s="4"/>
      <x:c r="F43" s="4"/>
      <x:c r="G43" s="4"/>
      <x:c r="H43" s="4"/>
    </x:row>
    <x:row r="44" ht="23" customHeight="1">
      <x:c r="A44" s="1"/>
      <x:c r="B44" s="4"/>
      <x:c r="C44" s="4"/>
      <x:c r="D44" s="4"/>
      <x:c r="E44" s="4"/>
      <x:c r="F44" s="4"/>
      <x:c r="G44" s="4"/>
      <x:c r="H44" s="4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23" t="str">
        <x:v>Reproduce the workbook</x:v>
      </x:c>
      <x:c r="C46" s="1"/>
      <x:c r="D46" s="1"/>
      <x:c r="E46" s="1"/>
      <x:c r="F46" s="1"/>
      <x:c r="G46" s="1"/>
      <x:c r="H46" s="1"/>
    </x:row>
    <x:row r="47" ht="23" customHeight="1">
      <x:c r="A47" s="1"/>
      <x:c r="B47" s="4" t="str">
        <x:v>Run scripts/analyze.py, scripts/prepare_excel_data.py, then scripts/build_workbook.mjs. Python generates inference; workbook formulas drive scenarios and segment summaries.</x:v>
      </x:c>
      <x:c r="C47" s="4"/>
      <x:c r="D47" s="4"/>
      <x:c r="E47" s="4"/>
      <x:c r="F47" s="4"/>
      <x:c r="G47" s="4"/>
      <x:c r="H47" s="4"/>
    </x:row>
    <x:row r="48" ht="23" customHeight="1">
      <x:c r="A48" s="1"/>
      <x:c r="B48" s="4"/>
      <x:c r="C48" s="4"/>
      <x:c r="D48" s="4"/>
      <x:c r="E48" s="4"/>
      <x:c r="F48" s="4"/>
      <x:c r="G48" s="4"/>
      <x:c r="H48" s="4"/>
    </x:row>
    <x:row r="49" ht="23" customHeight="1">
      <x:c r="A49" s="1"/>
      <x:c r="B49" s="4"/>
      <x:c r="C49" s="4"/>
      <x:c r="D49" s="4"/>
      <x:c r="E49" s="4"/>
      <x:c r="F49" s="4"/>
      <x:c r="G49" s="4"/>
      <x:c r="H49" s="4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</x:row>
  </x:sheetData>
  <x:mergeCells>
    <x:mergeCell ref="B2:H2"/>
    <x:mergeCell ref="B3:H4"/>
    <x:mergeCell ref="B6:H6"/>
    <x:mergeCell ref="B7:H9"/>
    <x:mergeCell ref="B11:H11"/>
    <x:mergeCell ref="B12:H14"/>
    <x:mergeCell ref="B16:H16"/>
    <x:mergeCell ref="B17:H19"/>
    <x:mergeCell ref="B21:H21"/>
    <x:mergeCell ref="B22:H24"/>
    <x:mergeCell ref="B26:H26"/>
    <x:mergeCell ref="B27:H29"/>
    <x:mergeCell ref="B31:H31"/>
    <x:mergeCell ref="B32:H34"/>
    <x:mergeCell ref="B36:H36"/>
    <x:mergeCell ref="B37:H39"/>
    <x:mergeCell ref="B41:H41"/>
    <x:mergeCell ref="B42:H44"/>
    <x:mergeCell ref="B46:H46"/>
    <x:mergeCell ref="B47:H49"/>
  </x:mergeCells>
  <x:pageMargins left="0.7" right="0.7" top="0.75" bottom="0.75" header="0.3" footer="0.3"/>
</x:worksheet>
</file>